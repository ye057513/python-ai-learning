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10" tabRatio="600" firstSheet="0" activeTab="5" autoFilterDateGrouping="1"/>
  </bookViews>
  <sheets>
    <sheet name="总览" sheetId="1" state="visible" r:id="rId1"/>
    <sheet name="任务清单" sheetId="2" state="visible" r:id="rId2"/>
    <sheet name="今日打卡" sheetId="3" state="visible" r:id="rId3"/>
    <sheet name="周复盘" sheetId="4" state="visible" r:id="rId4"/>
    <sheet name="目标公司" sheetId="5" state="visible" r:id="rId5"/>
    <sheet name="求职APP推荐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yyyy-mm-dd"/>
  </numFmts>
  <fonts count="33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Noto Sans SC"/>
      <charset val="134"/>
      <color rgb="FF1C1F23"/>
      <sz val="12"/>
    </font>
    <font>
      <name val="微软雅黑"/>
      <charset val="134"/>
      <b val="1"/>
      <sz val="14"/>
    </font>
    <font>
      <name val="微软雅黑"/>
      <charset val="134"/>
      <b val="1"/>
      <color rgb="FF006100"/>
      <sz val="10"/>
    </font>
    <font>
      <name val="微软雅黑"/>
      <charset val="134"/>
      <b val="1"/>
      <color rgb="FFFFFFFF"/>
      <sz val="18"/>
    </font>
    <font>
      <name val="微软雅黑"/>
      <charset val="134"/>
      <b val="1"/>
      <sz val="11"/>
    </font>
    <font>
      <name val="微软雅黑"/>
      <charset val="134"/>
      <sz val="11"/>
    </font>
    <font>
      <name val="微软雅黑"/>
      <charset val="134"/>
      <b val="1"/>
      <sz val="13"/>
    </font>
    <font>
      <name val="宋体"/>
      <charset val="134"/>
      <b val="1"/>
      <sz val="11"/>
      <scheme val="minor"/>
    </font>
    <font>
      <name val="宋体"/>
      <charset val="134"/>
      <color rgb="FF999999"/>
      <sz val="9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16" borderId="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" applyAlignment="1">
      <alignment vertical="center"/>
    </xf>
    <xf numFmtId="0" fontId="20" fillId="0" borderId="2" applyAlignment="1">
      <alignment vertical="center"/>
    </xf>
    <xf numFmtId="0" fontId="21" fillId="0" borderId="3" applyAlignment="1">
      <alignment vertical="center"/>
    </xf>
    <xf numFmtId="0" fontId="21" fillId="0" borderId="0" applyAlignment="1">
      <alignment vertical="center"/>
    </xf>
    <xf numFmtId="0" fontId="22" fillId="17" borderId="4" applyAlignment="1">
      <alignment vertical="center"/>
    </xf>
    <xf numFmtId="0" fontId="23" fillId="18" borderId="5" applyAlignment="1">
      <alignment vertical="center"/>
    </xf>
    <xf numFmtId="0" fontId="24" fillId="18" borderId="4" applyAlignment="1">
      <alignment vertical="center"/>
    </xf>
    <xf numFmtId="0" fontId="25" fillId="19" borderId="6" applyAlignment="1">
      <alignment vertical="center"/>
    </xf>
    <xf numFmtId="0" fontId="26" fillId="0" borderId="7" applyAlignment="1">
      <alignment vertical="center"/>
    </xf>
    <xf numFmtId="0" fontId="27" fillId="0" borderId="8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1" fillId="42" borderId="0" applyAlignment="1">
      <alignment vertical="center"/>
    </xf>
    <xf numFmtId="0" fontId="31" fillId="43" borderId="0" applyAlignment="1">
      <alignment vertical="center"/>
    </xf>
    <xf numFmtId="0" fontId="32" fillId="44" borderId="0" applyAlignment="1">
      <alignment vertical="center"/>
    </xf>
    <xf numFmtId="0" fontId="32" fillId="45" borderId="0" applyAlignment="1">
      <alignment vertical="center"/>
    </xf>
    <xf numFmtId="0" fontId="31" fillId="46" borderId="0" applyAlignment="1">
      <alignment vertical="center"/>
    </xf>
  </cellStyleXfs>
  <cellXfs count="4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164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164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3" fillId="11" borderId="0" applyAlignment="1" pivotButton="0" quotePrefix="0" xfId="0">
      <alignment vertical="center" wrapText="1"/>
    </xf>
    <xf numFmtId="0" fontId="3" fillId="12" borderId="0" applyAlignment="1" pivotButton="0" quotePrefix="0" xfId="0">
      <alignment vertical="center" wrapText="1"/>
    </xf>
    <xf numFmtId="0" fontId="3" fillId="13" borderId="0" applyAlignment="1" pivotButton="0" quotePrefix="0" xfId="0">
      <alignment vertical="center" wrapText="1"/>
    </xf>
    <xf numFmtId="164" fontId="3" fillId="13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8" fillId="14" borderId="0" pivotButton="0" quotePrefix="0" xfId="0"/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11" fillId="15" borderId="0" applyAlignment="1" pivotButton="0" quotePrefix="0" xfId="0">
      <alignment horizontal="center"/>
    </xf>
    <xf numFmtId="165" fontId="0" fillId="0" borderId="0" pivotButton="0" quotePrefix="0" xfId="0"/>
    <xf numFmtId="0" fontId="12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5" fontId="0" fillId="0" borderId="0" pivotButton="0" quotePrefix="0" xfId="0"/>
    <xf numFmtId="164" fontId="3" fillId="4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164" fontId="3" fillId="7" borderId="0" applyAlignment="1" pivotButton="0" quotePrefix="0" xfId="0">
      <alignment vertical="center" wrapText="1"/>
    </xf>
    <xf numFmtId="164" fontId="3" fillId="8" borderId="0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13" borderId="0" applyAlignment="1" pivotButton="0" quotePrefix="0" xfId="0">
      <alignment vertical="center" wrapText="1"/>
    </xf>
    <xf numFmtId="166" fontId="3" fillId="9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:F1"/>
    </sheetView>
  </sheetViews>
  <sheetFormatPr baseColWidth="8" defaultColWidth="9" defaultRowHeight="13.5"/>
  <cols>
    <col width="25" customWidth="1" min="1" max="1"/>
    <col width="65" customWidth="1" min="2" max="2"/>
  </cols>
  <sheetData>
    <row r="1" ht="35" customHeight="1">
      <c r="A1" s="24" t="inlineStr">
        <is>
          <t>AI应用开发工程师 / Python开发实习 学习路线图</t>
        </is>
      </c>
    </row>
    <row r="3" ht="16.5" customHeight="1">
      <c r="A3" s="25" t="inlineStr">
        <is>
          <t>目标岗位</t>
        </is>
      </c>
      <c r="B3" s="26" t="inlineStr">
        <is>
          <t>AI应用开发工程师 / AI Agent开发 / Python开发实习生</t>
        </is>
      </c>
    </row>
    <row r="4" ht="16.5" customHeight="1">
      <c r="A4" s="25" t="inlineStr">
        <is>
          <t>目标城市</t>
        </is>
      </c>
      <c r="B4" s="26" t="inlineStr">
        <is>
          <t>泉州 / 厦门</t>
        </is>
      </c>
    </row>
    <row r="5" ht="16.5" customHeight="1">
      <c r="A5" s="25" t="inlineStr">
        <is>
          <t>目标公司</t>
        </is>
      </c>
      <c r="B5" s="26" t="inlineStr">
        <is>
          <t>快商通、美图、众诚则、空陆视觉、小题科技、睿云联、量子堆栈、国投智能等</t>
        </is>
      </c>
    </row>
    <row r="6" ht="16.5" customHeight="1">
      <c r="A6" s="25" t="inlineStr">
        <is>
          <t>开始日期</t>
        </is>
      </c>
      <c r="B6" s="33" t="n">
        <v>46226</v>
      </c>
    </row>
    <row r="7" ht="16.5" customHeight="1">
      <c r="A7" s="25" t="inlineStr">
        <is>
          <t>总任务数</t>
        </is>
      </c>
      <c r="B7" s="26">
        <f>COUNTA(任务清单!B4:B200)</f>
        <v/>
      </c>
    </row>
    <row r="8" ht="16.5" customHeight="1">
      <c r="A8" s="25" t="inlineStr">
        <is>
          <t>已完成</t>
        </is>
      </c>
      <c r="B8" s="26">
        <f>COUNTIF(任务清单!E4:E200,"已完成")</f>
        <v/>
      </c>
    </row>
    <row r="9" ht="16.5" customHeight="1">
      <c r="A9" s="25" t="inlineStr">
        <is>
          <t>进行中</t>
        </is>
      </c>
      <c r="B9" s="26">
        <f>COUNTIF(任务清单!E4:E200,"进行中")</f>
        <v/>
      </c>
    </row>
    <row r="10" ht="16.5" customHeight="1">
      <c r="A10" s="25" t="inlineStr">
        <is>
          <t>完成率</t>
        </is>
      </c>
      <c r="B10" s="34">
        <f>IFERROR(B8/B7,0)</f>
        <v/>
      </c>
    </row>
    <row r="12" ht="19.5" customHeight="1">
      <c r="A12" s="29" t="inlineStr">
        <is>
          <t>阶段统计</t>
        </is>
      </c>
    </row>
    <row r="13">
      <c r="A13" s="30" t="inlineStr">
        <is>
          <t>阶段</t>
        </is>
      </c>
      <c r="B13" s="30" t="inlineStr">
        <is>
          <t>任务数</t>
        </is>
      </c>
      <c r="C13" s="30" t="inlineStr">
        <is>
          <t>已完成</t>
        </is>
      </c>
      <c r="D13" s="30" t="inlineStr">
        <is>
          <t>完成率</t>
        </is>
      </c>
    </row>
    <row r="14">
      <c r="A14" t="inlineStr">
        <is>
          <t>阶段1</t>
        </is>
      </c>
      <c r="B14">
        <f>COUNTIF(任务清单!C4:C200,"阶段1*")</f>
        <v/>
      </c>
      <c r="C14">
        <f>COUNTIFS(任务清单!C4:C200,"阶段1*",任务清单!E4:E200,"已完成")</f>
        <v/>
      </c>
      <c r="D14" s="35">
        <f>IFERROR(C14/B14,0)</f>
        <v/>
      </c>
    </row>
    <row r="15">
      <c r="A15" t="inlineStr">
        <is>
          <t>阶段2</t>
        </is>
      </c>
      <c r="B15">
        <f>COUNTIF(任务清单!C4:C200,"阶段2*")</f>
        <v/>
      </c>
      <c r="C15">
        <f>COUNTIFS(任务清单!C4:C200,"阶段2*",任务清单!E4:E200,"已完成")</f>
        <v/>
      </c>
      <c r="D15" s="35">
        <f>IFERROR(C15/B15,0)</f>
        <v/>
      </c>
    </row>
    <row r="16">
      <c r="A16" t="inlineStr">
        <is>
          <t>阶段3</t>
        </is>
      </c>
      <c r="B16">
        <f>COUNTIF(任务清单!C4:C200,"阶段3*")</f>
        <v/>
      </c>
      <c r="C16">
        <f>COUNTIFS(任务清单!C4:C200,"阶段3*",任务清单!E4:E200,"已完成")</f>
        <v/>
      </c>
      <c r="D16" s="35">
        <f>IFERROR(C16/B16,0)</f>
        <v/>
      </c>
    </row>
    <row r="17">
      <c r="A17" t="inlineStr">
        <is>
          <t>阶段4</t>
        </is>
      </c>
      <c r="B17">
        <f>COUNTIF(任务清单!C4:C200,"阶段4*")</f>
        <v/>
      </c>
      <c r="C17">
        <f>COUNTIFS(任务清单!C4:C200,"阶段4*",任务清单!E4:E200,"已完成")</f>
        <v/>
      </c>
      <c r="D17" s="35">
        <f>IFERROR(C17/B17,0)</f>
        <v/>
      </c>
    </row>
    <row r="18">
      <c r="A18" t="inlineStr">
        <is>
          <t>阶段5</t>
        </is>
      </c>
      <c r="B18">
        <f>COUNTIF(任务清单!C4:C200,"阶段5*")</f>
        <v/>
      </c>
      <c r="C18">
        <f>COUNTIFS(任务清单!C4:C200,"阶段5*",任务清单!E4:E200,"已完成")</f>
        <v/>
      </c>
      <c r="D18" s="35">
        <f>IFERROR(C18/B18,0)</f>
        <v/>
      </c>
    </row>
    <row r="19">
      <c r="A19" t="inlineStr">
        <is>
          <t>阶段6</t>
        </is>
      </c>
      <c r="B19">
        <f>COUNTIF(任务清单!C4:C200,"阶段6*")</f>
        <v/>
      </c>
      <c r="C19">
        <f>COUNTIFS(任务清单!C4:C200,"阶段6*",任务清单!E4:E200,"已完成")</f>
        <v/>
      </c>
      <c r="D19" s="35">
        <f>IFERROR(C19/B19,0)</f>
        <v/>
      </c>
    </row>
    <row r="20">
      <c r="A20" t="inlineStr">
        <is>
          <t>阶段7</t>
        </is>
      </c>
      <c r="B20">
        <f>COUNTIF(任务清单!C4:C200,"阶段7*")</f>
        <v/>
      </c>
      <c r="C20">
        <f>COUNTIFS(任务清单!C4:C200,"阶段7*",任务清单!E4:E200,"已完成")</f>
        <v/>
      </c>
      <c r="D20" s="35">
        <f>IFERROR(C20/B20,0)</f>
        <v/>
      </c>
    </row>
    <row r="21">
      <c r="A21" t="inlineStr">
        <is>
          <t>阶段8</t>
        </is>
      </c>
      <c r="B21">
        <f>COUNTIF(任务清单!C4:C200,"阶段8*")</f>
        <v/>
      </c>
      <c r="C21">
        <f>COUNTIFS(任务清单!C4:C200,"阶段8*",任务清单!E4:E200,"已完成")</f>
        <v/>
      </c>
      <c r="D21" s="35">
        <f>IFERROR(C21/B21,0)</f>
        <v/>
      </c>
    </row>
    <row r="22">
      <c r="A22" t="inlineStr">
        <is>
          <t>阶段9</t>
        </is>
      </c>
      <c r="B22">
        <f>COUNTIF(任务清单!C4:C200,"阶段9*")</f>
        <v/>
      </c>
      <c r="C22">
        <f>COUNTIFS(任务清单!C4:C200,"阶段9*",任务清单!E4:E200,"已完成")</f>
        <v/>
      </c>
      <c r="D22" s="35">
        <f>IFERROR(C22/B22,0)</f>
        <v/>
      </c>
    </row>
    <row r="24">
      <c r="A24" s="32" t="inlineStr">
        <is>
          <t>（内容由AI生成，仅供参考）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138"/>
  <sheetViews>
    <sheetView workbookViewId="0">
      <pane ySplit="3" topLeftCell="A107" activePane="bottomLeft" state="frozen"/>
      <selection activeCell="A1" sqref="A1"/>
      <selection pane="bottomLeft" activeCell="E61" sqref="E61"/>
    </sheetView>
  </sheetViews>
  <sheetFormatPr baseColWidth="8" defaultColWidth="9" defaultRowHeight="13.5"/>
  <cols>
    <col width="6" customWidth="1" min="1" max="1"/>
    <col width="10" customWidth="1" min="2" max="2"/>
    <col width="18" customWidth="1" min="3" max="3"/>
    <col width="35" customWidth="1" min="4" max="4"/>
    <col width="10" customWidth="1" min="5" max="5"/>
    <col width="8" customWidth="1" min="6" max="6"/>
    <col width="12" customWidth="1" min="7" max="9"/>
    <col width="30" customWidth="1" min="10" max="10"/>
    <col width="25" customWidth="1" min="11" max="11"/>
  </cols>
  <sheetData>
    <row r="3" ht="28" customHeight="1">
      <c r="A3" s="7" t="inlineStr">
        <is>
          <t>序号</t>
        </is>
      </c>
      <c r="B3" s="7" t="inlineStr">
        <is>
          <t>阶段</t>
        </is>
      </c>
      <c r="C3" s="7" t="inlineStr">
        <is>
          <t>模块</t>
        </is>
      </c>
      <c r="D3" s="7" t="inlineStr">
        <is>
          <t>任务名称</t>
        </is>
      </c>
      <c r="E3" s="7" t="inlineStr">
        <is>
          <t>状态</t>
        </is>
      </c>
      <c r="F3" s="7" t="inlineStr">
        <is>
          <t>优先级</t>
        </is>
      </c>
      <c r="G3" s="7" t="inlineStr">
        <is>
          <t>开始日期</t>
        </is>
      </c>
      <c r="H3" s="7" t="inlineStr">
        <is>
          <t>完成日期</t>
        </is>
      </c>
      <c r="I3" s="7" t="inlineStr">
        <is>
          <t>学习时长(h)</t>
        </is>
      </c>
      <c r="J3" s="7" t="inlineStr">
        <is>
          <t>产出/链接</t>
        </is>
      </c>
      <c r="K3" s="7" t="inlineStr">
        <is>
          <t>备注</t>
        </is>
      </c>
    </row>
    <row r="4" ht="16.5" customHeight="1">
      <c r="A4" s="8" t="n">
        <v>1</v>
      </c>
      <c r="B4" s="8" t="inlineStr">
        <is>
          <t>阶段1</t>
        </is>
      </c>
      <c r="C4" s="8" t="inlineStr">
        <is>
          <t>环境与工具</t>
        </is>
      </c>
      <c r="D4" s="8" t="inlineStr">
        <is>
          <t>Python安装与虚拟环境（venv）</t>
        </is>
      </c>
      <c r="E4" s="9" t="inlineStr">
        <is>
          <t>已完成</t>
        </is>
      </c>
      <c r="F4" s="8" t="inlineStr">
        <is>
          <t>高</t>
        </is>
      </c>
      <c r="G4" s="36" t="n">
        <v>46212</v>
      </c>
      <c r="H4" s="36" t="n">
        <v>46212</v>
      </c>
      <c r="I4" s="8" t="n">
        <v>2</v>
      </c>
      <c r="J4" s="8" t="inlineStr">
        <is>
          <t>python-learning\.venv</t>
        </is>
      </c>
      <c r="K4" s="8" t="inlineStr"/>
    </row>
    <row r="5" ht="16.5" customHeight="1">
      <c r="A5" s="8" t="n">
        <v>2</v>
      </c>
      <c r="B5" s="8" t="inlineStr">
        <is>
          <t>阶段1</t>
        </is>
      </c>
      <c r="C5" s="8" t="inlineStr">
        <is>
          <t>环境与工具</t>
        </is>
      </c>
      <c r="D5" s="8" t="inlineStr">
        <is>
          <t>Git安装与GitHub账号建立</t>
        </is>
      </c>
      <c r="E5" s="9" t="inlineStr">
        <is>
          <t>已完成</t>
        </is>
      </c>
      <c r="F5" s="8" t="inlineStr">
        <is>
          <t>高</t>
        </is>
      </c>
      <c r="G5" s="36" t="n">
        <v>46212</v>
      </c>
      <c r="H5" s="36" t="n">
        <v>46212</v>
      </c>
      <c r="I5" s="8" t="n">
        <v>1</v>
      </c>
      <c r="J5" s="8" t="inlineStr"/>
      <c r="K5" s="8" t="inlineStr"/>
    </row>
    <row r="6" ht="16.5" customHeight="1">
      <c r="A6" s="8" t="n">
        <v>3</v>
      </c>
      <c r="B6" s="8" t="inlineStr">
        <is>
          <t>阶段1</t>
        </is>
      </c>
      <c r="C6" s="8" t="inlineStr">
        <is>
          <t>环境与工具</t>
        </is>
      </c>
      <c r="D6" s="8" t="inlineStr">
        <is>
          <t>VS Code + Python插件配置</t>
        </is>
      </c>
      <c r="E6" s="9" t="inlineStr">
        <is>
          <t>已完成</t>
        </is>
      </c>
      <c r="F6" s="8" t="inlineStr">
        <is>
          <t>高</t>
        </is>
      </c>
      <c r="G6" s="36" t="n">
        <v>46212</v>
      </c>
      <c r="H6" s="36" t="n">
        <v>46212</v>
      </c>
      <c r="I6" s="8" t="n">
        <v>1</v>
      </c>
      <c r="J6" s="8" t="inlineStr"/>
      <c r="K6" s="8" t="inlineStr"/>
    </row>
    <row r="7" ht="16.5" customHeight="1">
      <c r="A7" s="8" t="n">
        <v>4</v>
      </c>
      <c r="B7" s="8" t="inlineStr">
        <is>
          <t>阶段1</t>
        </is>
      </c>
      <c r="C7" s="8" t="inlineStr">
        <is>
          <t>环境与工具</t>
        </is>
      </c>
      <c r="D7" s="8" t="inlineStr">
        <is>
          <t>.env 文件管理与 API Key 安全</t>
        </is>
      </c>
      <c r="E7" s="9" t="inlineStr">
        <is>
          <t>已完成</t>
        </is>
      </c>
      <c r="F7" s="8" t="inlineStr">
        <is>
          <t>高</t>
        </is>
      </c>
      <c r="G7" s="36" t="n">
        <v>46212</v>
      </c>
      <c r="H7" s="36" t="n">
        <v>46212</v>
      </c>
      <c r="I7" s="8" t="n">
        <v>1</v>
      </c>
      <c r="J7" s="8" t="inlineStr">
        <is>
          <t>SILICONFLOW_API_KEY</t>
        </is>
      </c>
      <c r="K7" s="8" t="inlineStr"/>
    </row>
    <row r="8" ht="16.5" customHeight="1">
      <c r="A8" s="8" t="n">
        <v>5</v>
      </c>
      <c r="B8" s="8" t="inlineStr">
        <is>
          <t>阶段1</t>
        </is>
      </c>
      <c r="C8" s="8" t="inlineStr">
        <is>
          <t>语法基础</t>
        </is>
      </c>
      <c r="D8" s="8" t="inlineStr">
        <is>
          <t>变量、数据类型、运算符</t>
        </is>
      </c>
      <c r="E8" s="9" t="inlineStr">
        <is>
          <t>已完成</t>
        </is>
      </c>
      <c r="F8" s="8" t="inlineStr">
        <is>
          <t>高</t>
        </is>
      </c>
      <c r="G8" s="36" t="n">
        <v>46212</v>
      </c>
      <c r="H8" s="36" t="n">
        <v>46214</v>
      </c>
      <c r="I8" s="8" t="n">
        <v>3</v>
      </c>
      <c r="J8" s="8" t="inlineStr"/>
      <c r="K8" s="8" t="inlineStr"/>
    </row>
    <row r="9" ht="16.5" customHeight="1">
      <c r="A9" s="8" t="n">
        <v>6</v>
      </c>
      <c r="B9" s="8" t="inlineStr">
        <is>
          <t>阶段1</t>
        </is>
      </c>
      <c r="C9" s="8" t="inlineStr">
        <is>
          <t>语法基础</t>
        </is>
      </c>
      <c r="D9" s="8" t="inlineStr">
        <is>
          <t>控制流（if/for/while）</t>
        </is>
      </c>
      <c r="E9" s="9" t="inlineStr">
        <is>
          <t>已完成</t>
        </is>
      </c>
      <c r="F9" s="8" t="inlineStr">
        <is>
          <t>高</t>
        </is>
      </c>
      <c r="G9" s="36" t="n">
        <v>46212</v>
      </c>
      <c r="H9" s="36" t="n">
        <v>46214</v>
      </c>
      <c r="I9" s="8" t="n">
        <v>3</v>
      </c>
      <c r="J9" s="8" t="inlineStr"/>
      <c r="K9" s="8" t="inlineStr"/>
    </row>
    <row r="10" ht="16.5" customHeight="1">
      <c r="A10" s="8" t="n">
        <v>7</v>
      </c>
      <c r="B10" s="8" t="inlineStr">
        <is>
          <t>阶段1</t>
        </is>
      </c>
      <c r="C10" s="8" t="inlineStr">
        <is>
          <t>语法基础</t>
        </is>
      </c>
      <c r="D10" s="8" t="inlineStr">
        <is>
          <t>函数与模块</t>
        </is>
      </c>
      <c r="E10" s="9" t="inlineStr">
        <is>
          <t>已完成</t>
        </is>
      </c>
      <c r="F10" s="8" t="inlineStr">
        <is>
          <t>高</t>
        </is>
      </c>
      <c r="G10" s="36" t="n">
        <v>46214</v>
      </c>
      <c r="H10" s="36" t="n">
        <v>46216</v>
      </c>
      <c r="I10" s="8" t="n">
        <v>4</v>
      </c>
      <c r="J10" s="8" t="inlineStr"/>
      <c r="K10" s="8" t="inlineStr"/>
    </row>
    <row r="11" ht="16.5" customHeight="1">
      <c r="A11" s="8" t="n">
        <v>8</v>
      </c>
      <c r="B11" s="8" t="inlineStr">
        <is>
          <t>阶段1</t>
        </is>
      </c>
      <c r="C11" s="8" t="inlineStr">
        <is>
          <t>语法基础</t>
        </is>
      </c>
      <c r="D11" s="8" t="inlineStr">
        <is>
          <t>面向对象（类/继承/封装）</t>
        </is>
      </c>
      <c r="E11" s="9" t="inlineStr">
        <is>
          <t>已完成</t>
        </is>
      </c>
      <c r="F11" s="8" t="inlineStr">
        <is>
          <t>中</t>
        </is>
      </c>
      <c r="G11" s="36" t="n">
        <v>46214</v>
      </c>
      <c r="H11" s="36" t="n">
        <v>46216</v>
      </c>
      <c r="I11" s="8" t="n">
        <v>4</v>
      </c>
      <c r="J11" s="8" t="inlineStr"/>
      <c r="K11" s="8" t="inlineStr"/>
    </row>
    <row r="12" ht="16.5" customHeight="1">
      <c r="A12" s="8" t="n">
        <v>9</v>
      </c>
      <c r="B12" s="8" t="inlineStr">
        <is>
          <t>阶段1</t>
        </is>
      </c>
      <c r="C12" s="8" t="inlineStr">
        <is>
          <t>语法基础</t>
        </is>
      </c>
      <c r="D12" s="8" t="inlineStr">
        <is>
          <t>异常处理（try/except）</t>
        </is>
      </c>
      <c r="E12" s="9" t="inlineStr">
        <is>
          <t>已完成</t>
        </is>
      </c>
      <c r="F12" s="8" t="inlineStr">
        <is>
          <t>中</t>
        </is>
      </c>
      <c r="G12" s="36" t="n">
        <v>46216</v>
      </c>
      <c r="H12" s="36" t="n">
        <v>46218</v>
      </c>
      <c r="I12" s="8" t="n">
        <v>2</v>
      </c>
      <c r="J12" s="8" t="inlineStr"/>
      <c r="K12" s="8" t="inlineStr"/>
    </row>
    <row r="13" ht="16.5" customHeight="1">
      <c r="A13" s="8" t="n">
        <v>10</v>
      </c>
      <c r="B13" s="8" t="inlineStr">
        <is>
          <t>阶段1</t>
        </is>
      </c>
      <c r="C13" s="8" t="inlineStr">
        <is>
          <t>数据结构</t>
        </is>
      </c>
      <c r="D13" s="8" t="inlineStr">
        <is>
          <t>列表、元组、字典、集合</t>
        </is>
      </c>
      <c r="E13" s="9" t="inlineStr">
        <is>
          <t>已完成</t>
        </is>
      </c>
      <c r="F13" s="8" t="inlineStr">
        <is>
          <t>高</t>
        </is>
      </c>
      <c r="G13" s="36" t="n">
        <v>46214</v>
      </c>
      <c r="H13" s="36" t="n">
        <v>46216</v>
      </c>
      <c r="I13" s="8" t="n">
        <v>4</v>
      </c>
      <c r="J13" s="8" t="inlineStr"/>
      <c r="K13" s="8" t="inlineStr"/>
    </row>
    <row r="14" ht="16.5" customHeight="1">
      <c r="A14" s="8" t="n">
        <v>11</v>
      </c>
      <c r="B14" s="8" t="inlineStr">
        <is>
          <t>阶段1</t>
        </is>
      </c>
      <c r="C14" s="8" t="inlineStr">
        <is>
          <t>数据结构</t>
        </is>
      </c>
      <c r="D14" s="8" t="inlineStr">
        <is>
          <t>推导式（list/dict comprehension）</t>
        </is>
      </c>
      <c r="E14" s="9" t="inlineStr">
        <is>
          <t>已完成</t>
        </is>
      </c>
      <c r="F14" s="8" t="inlineStr">
        <is>
          <t>中</t>
        </is>
      </c>
      <c r="G14" s="36" t="n">
        <v>46216</v>
      </c>
      <c r="H14" s="36" t="n">
        <v>46218</v>
      </c>
      <c r="I14" s="8" t="n">
        <v>2</v>
      </c>
      <c r="J14" s="8" t="inlineStr"/>
      <c r="K14" s="8" t="inlineStr"/>
    </row>
    <row r="15" ht="16.5" customHeight="1">
      <c r="A15" s="8" t="n">
        <v>12</v>
      </c>
      <c r="B15" s="8" t="inlineStr">
        <is>
          <t>阶段1</t>
        </is>
      </c>
      <c r="C15" s="8" t="inlineStr">
        <is>
          <t>数据结构</t>
        </is>
      </c>
      <c r="D15" s="8" t="inlineStr">
        <is>
          <t>字符串处理（正则表达式）</t>
        </is>
      </c>
      <c r="E15" s="9" t="inlineStr">
        <is>
          <t>已完成</t>
        </is>
      </c>
      <c r="F15" s="8" t="inlineStr">
        <is>
          <t>中</t>
        </is>
      </c>
      <c r="G15" s="36" t="n">
        <v>46218</v>
      </c>
      <c r="H15" s="36" t="n">
        <v>46220</v>
      </c>
      <c r="I15" s="8" t="n">
        <v>3</v>
      </c>
      <c r="J15" s="8" t="inlineStr"/>
      <c r="K15" s="8" t="inlineStr"/>
    </row>
    <row r="16" ht="16.5" customHeight="1">
      <c r="A16" s="8" t="n">
        <v>13</v>
      </c>
      <c r="B16" s="8" t="inlineStr">
        <is>
          <t>阶段1</t>
        </is>
      </c>
      <c r="C16" s="8" t="inlineStr">
        <is>
          <t>进阶</t>
        </is>
      </c>
      <c r="D16" s="8" t="inlineStr">
        <is>
          <t>文件 I/O 与 JSON</t>
        </is>
      </c>
      <c r="E16" s="8" t="inlineStr">
        <is>
          <t>未开始</t>
        </is>
      </c>
      <c r="F16" s="8" t="inlineStr">
        <is>
          <t>中</t>
        </is>
      </c>
      <c r="G16" s="8" t="n"/>
      <c r="H16" s="8" t="n"/>
      <c r="I16" s="8" t="n"/>
      <c r="J16" s="8" t="inlineStr"/>
      <c r="K16" s="8" t="inlineStr"/>
    </row>
    <row r="17" ht="16.5" customHeight="1">
      <c r="A17" s="8" t="n">
        <v>14</v>
      </c>
      <c r="B17" s="8" t="inlineStr">
        <is>
          <t>阶段1</t>
        </is>
      </c>
      <c r="C17" s="8" t="inlineStr">
        <is>
          <t>进阶</t>
        </is>
      </c>
      <c r="D17" s="8" t="inlineStr">
        <is>
          <t>包管理与 pip/conda</t>
        </is>
      </c>
      <c r="E17" s="8" t="inlineStr">
        <is>
          <t>未开始</t>
        </is>
      </c>
      <c r="F17" s="8" t="inlineStr">
        <is>
          <t>低</t>
        </is>
      </c>
      <c r="G17" s="8" t="n"/>
      <c r="H17" s="8" t="n"/>
      <c r="I17" s="8" t="n"/>
      <c r="J17" s="8" t="inlineStr"/>
      <c r="K17" s="8" t="inlineStr"/>
    </row>
    <row r="18" ht="16.5" customHeight="1">
      <c r="A18" s="8" t="n">
        <v>15</v>
      </c>
      <c r="B18" s="8" t="inlineStr">
        <is>
          <t>阶段1</t>
        </is>
      </c>
      <c r="C18" s="8" t="inlineStr">
        <is>
          <t>进阶</t>
        </is>
      </c>
      <c r="D18" s="8" t="inlineStr">
        <is>
          <t>单元测试（pytest）</t>
        </is>
      </c>
      <c r="E18" s="8" t="inlineStr">
        <is>
          <t>未开始</t>
        </is>
      </c>
      <c r="F18" s="8" t="inlineStr">
        <is>
          <t>中</t>
        </is>
      </c>
      <c r="G18" s="8" t="n"/>
      <c r="H18" s="8" t="n"/>
      <c r="I18" s="8" t="n"/>
      <c r="J18" s="8" t="inlineStr"/>
      <c r="K18" s="8" t="inlineStr"/>
    </row>
    <row r="19" ht="16.5" customHeight="1">
      <c r="A19" s="11" t="n">
        <v>16</v>
      </c>
      <c r="B19" s="11" t="inlineStr">
        <is>
          <t>阶段2</t>
        </is>
      </c>
      <c r="C19" s="11" t="inlineStr">
        <is>
          <t>LLM基础</t>
        </is>
      </c>
      <c r="D19" s="11" t="inlineStr">
        <is>
          <t>ChatOpenAI 调用与流式输出</t>
        </is>
      </c>
      <c r="E19" s="9" t="inlineStr">
        <is>
          <t>已完成</t>
        </is>
      </c>
      <c r="F19" s="11" t="inlineStr">
        <is>
          <t>高</t>
        </is>
      </c>
      <c r="G19" s="37" t="n">
        <v>46216</v>
      </c>
      <c r="H19" s="37" t="n">
        <v>46218</v>
      </c>
      <c r="I19" s="11" t="n">
        <v>3</v>
      </c>
      <c r="J19" s="11" t="inlineStr">
        <is>
          <t>day6_*.py</t>
        </is>
      </c>
      <c r="K19" s="11" t="inlineStr"/>
    </row>
    <row r="20" ht="16.5" customHeight="1">
      <c r="A20" s="11" t="n">
        <v>17</v>
      </c>
      <c r="B20" s="11" t="inlineStr">
        <is>
          <t>阶段2</t>
        </is>
      </c>
      <c r="C20" s="11" t="inlineStr">
        <is>
          <t>LLM基础</t>
        </is>
      </c>
      <c r="D20" s="11" t="inlineStr">
        <is>
          <t>PromptTemplate 与 ChatPromptTemplate</t>
        </is>
      </c>
      <c r="E20" s="9" t="inlineStr">
        <is>
          <t>已完成</t>
        </is>
      </c>
      <c r="F20" s="11" t="inlineStr">
        <is>
          <t>高</t>
        </is>
      </c>
      <c r="G20" s="37" t="n">
        <v>46216</v>
      </c>
      <c r="H20" s="37" t="n">
        <v>46218</v>
      </c>
      <c r="I20" s="11" t="n">
        <v>3</v>
      </c>
      <c r="J20" s="11" t="inlineStr"/>
      <c r="K20" s="11" t="inlineStr"/>
    </row>
    <row r="21" ht="16.5" customHeight="1">
      <c r="A21" s="11" t="n">
        <v>18</v>
      </c>
      <c r="B21" s="11" t="inlineStr">
        <is>
          <t>阶段2</t>
        </is>
      </c>
      <c r="C21" s="11" t="inlineStr">
        <is>
          <t>LLM基础</t>
        </is>
      </c>
      <c r="D21" s="11" t="inlineStr">
        <is>
          <t>LCEL 管道符 | 用法</t>
        </is>
      </c>
      <c r="E21" s="9" t="inlineStr">
        <is>
          <t>已完成</t>
        </is>
      </c>
      <c r="F21" s="11" t="inlineStr">
        <is>
          <t>高</t>
        </is>
      </c>
      <c r="G21" s="37" t="n">
        <v>46216</v>
      </c>
      <c r="H21" s="37" t="n">
        <v>46218</v>
      </c>
      <c r="I21" s="11" t="n">
        <v>2</v>
      </c>
      <c r="J21" s="11" t="inlineStr"/>
      <c r="K21" s="11" t="inlineStr"/>
    </row>
    <row r="22" ht="16.5" customHeight="1">
      <c r="A22" s="11" t="n">
        <v>19</v>
      </c>
      <c r="B22" s="11" t="inlineStr">
        <is>
          <t>阶段2</t>
        </is>
      </c>
      <c r="C22" s="11" t="inlineStr">
        <is>
          <t>LLM基础</t>
        </is>
      </c>
      <c r="D22" s="11" t="inlineStr">
        <is>
          <t>StrOutputParser / JsonOutputParser</t>
        </is>
      </c>
      <c r="E22" s="9" t="inlineStr">
        <is>
          <t>已完成</t>
        </is>
      </c>
      <c r="F22" s="11" t="inlineStr">
        <is>
          <t>高</t>
        </is>
      </c>
      <c r="G22" s="37" t="n">
        <v>46216</v>
      </c>
      <c r="H22" s="37" t="n">
        <v>46218</v>
      </c>
      <c r="I22" s="11" t="n">
        <v>2</v>
      </c>
      <c r="J22" s="11" t="inlineStr"/>
      <c r="K22" s="11" t="inlineStr"/>
    </row>
    <row r="23" ht="33" customHeight="1">
      <c r="A23" s="11" t="n">
        <v>20</v>
      </c>
      <c r="B23" s="11" t="inlineStr">
        <is>
          <t>阶段2</t>
        </is>
      </c>
      <c r="C23" s="11" t="inlineStr">
        <is>
          <t>消息系统</t>
        </is>
      </c>
      <c r="D23" s="11" t="inlineStr">
        <is>
          <t>HumanMessage / AIMessage / SystemMessage</t>
        </is>
      </c>
      <c r="E23" s="9" t="inlineStr">
        <is>
          <t>已完成</t>
        </is>
      </c>
      <c r="F23" s="11" t="inlineStr">
        <is>
          <t>中</t>
        </is>
      </c>
      <c r="G23" s="37" t="n">
        <v>46218</v>
      </c>
      <c r="H23" s="37" t="n">
        <v>46220</v>
      </c>
      <c r="I23" s="11" t="n">
        <v>2</v>
      </c>
      <c r="J23" s="11" t="inlineStr"/>
      <c r="K23" s="11" t="inlineStr"/>
    </row>
    <row r="24" ht="16.5" customHeight="1">
      <c r="A24" s="11" t="n">
        <v>21</v>
      </c>
      <c r="B24" s="11" t="inlineStr">
        <is>
          <t>阶段2</t>
        </is>
      </c>
      <c r="C24" s="11" t="inlineStr">
        <is>
          <t>消息系统</t>
        </is>
      </c>
      <c r="D24" s="11" t="inlineStr">
        <is>
          <t>MessagesPlaceholder 用法</t>
        </is>
      </c>
      <c r="E24" s="9" t="inlineStr">
        <is>
          <t>已完成</t>
        </is>
      </c>
      <c r="F24" s="11" t="inlineStr">
        <is>
          <t>中</t>
        </is>
      </c>
      <c r="G24" s="37" t="n">
        <v>46218</v>
      </c>
      <c r="H24" s="37" t="n">
        <v>46220</v>
      </c>
      <c r="I24" s="11" t="n">
        <v>2</v>
      </c>
      <c r="J24" s="11" t="inlineStr"/>
      <c r="K24" s="11" t="inlineStr"/>
    </row>
    <row r="25" ht="16.5" customHeight="1">
      <c r="A25" s="11" t="n">
        <v>22</v>
      </c>
      <c r="B25" s="11" t="inlineStr">
        <is>
          <t>阶段2</t>
        </is>
      </c>
      <c r="C25" s="11" t="inlineStr">
        <is>
          <t>提示工程</t>
        </is>
      </c>
      <c r="D25" s="11" t="inlineStr">
        <is>
          <t>Few-shot 提示模板</t>
        </is>
      </c>
      <c r="E25" s="11" t="inlineStr">
        <is>
          <t>未开始</t>
        </is>
      </c>
      <c r="F25" s="11" t="inlineStr">
        <is>
          <t>中</t>
        </is>
      </c>
      <c r="G25" s="11" t="n"/>
      <c r="H25" s="11" t="n"/>
      <c r="I25" s="11" t="n"/>
      <c r="J25" s="11" t="inlineStr"/>
      <c r="K25" s="11" t="inlineStr"/>
    </row>
    <row r="26" ht="16.5" customHeight="1">
      <c r="A26" s="11" t="n">
        <v>23</v>
      </c>
      <c r="B26" s="11" t="inlineStr">
        <is>
          <t>阶段2</t>
        </is>
      </c>
      <c r="C26" s="11" t="inlineStr">
        <is>
          <t>提示工程</t>
        </is>
      </c>
      <c r="D26" s="11" t="inlineStr">
        <is>
          <t>Prompt 调优实战</t>
        </is>
      </c>
      <c r="E26" s="11" t="inlineStr">
        <is>
          <t>未开始</t>
        </is>
      </c>
      <c r="F26" s="11" t="inlineStr">
        <is>
          <t>高</t>
        </is>
      </c>
      <c r="G26" s="11" t="n"/>
      <c r="H26" s="11" t="n"/>
      <c r="I26" s="11" t="n"/>
      <c r="J26" s="11" t="inlineStr"/>
      <c r="K26" s="11" t="inlineStr"/>
    </row>
    <row r="27" ht="16.5" customHeight="1">
      <c r="A27" s="11" t="n">
        <v>24</v>
      </c>
      <c r="B27" s="11" t="inlineStr">
        <is>
          <t>阶段2</t>
        </is>
      </c>
      <c r="C27" s="11" t="inlineStr">
        <is>
          <t>结构化输出</t>
        </is>
      </c>
      <c r="D27" s="11" t="inlineStr">
        <is>
          <t>Pydantic 模型定义 + with_structured_output</t>
        </is>
      </c>
      <c r="E27" s="11" t="inlineStr">
        <is>
          <t>未开始</t>
        </is>
      </c>
      <c r="F27" s="11" t="inlineStr">
        <is>
          <t>高</t>
        </is>
      </c>
      <c r="G27" s="11" t="n"/>
      <c r="H27" s="11" t="n"/>
      <c r="I27" s="11" t="n"/>
      <c r="J27" s="11" t="inlineStr"/>
      <c r="K27" s="11" t="inlineStr"/>
    </row>
    <row r="28" ht="16.5" customHeight="1">
      <c r="A28" s="11" t="n">
        <v>25</v>
      </c>
      <c r="B28" s="11" t="inlineStr">
        <is>
          <t>阶段2</t>
        </is>
      </c>
      <c r="C28" s="11" t="inlineStr">
        <is>
          <t>回调</t>
        </is>
      </c>
      <c r="D28" s="11" t="inlineStr">
        <is>
          <t>Callback / Token 计数</t>
        </is>
      </c>
      <c r="E28" s="11" t="inlineStr">
        <is>
          <t>未开始</t>
        </is>
      </c>
      <c r="F28" s="11" t="inlineStr">
        <is>
          <t>低</t>
        </is>
      </c>
      <c r="G28" s="11" t="n"/>
      <c r="H28" s="11" t="n"/>
      <c r="I28" s="11" t="n"/>
      <c r="J28" s="11" t="inlineStr"/>
      <c r="K28" s="11" t="inlineStr"/>
    </row>
    <row r="29" ht="16.5" customHeight="1">
      <c r="A29" s="13" t="n">
        <v>26</v>
      </c>
      <c r="B29" s="13" t="inlineStr">
        <is>
          <t>阶段3</t>
        </is>
      </c>
      <c r="C29" s="13" t="inlineStr">
        <is>
          <t>文档加载</t>
        </is>
      </c>
      <c r="D29" s="13" t="inlineStr">
        <is>
          <t>TextLoader / DirectoryLoader</t>
        </is>
      </c>
      <c r="E29" s="9" t="inlineStr">
        <is>
          <t>已完成</t>
        </is>
      </c>
      <c r="F29" s="13" t="inlineStr">
        <is>
          <t>高</t>
        </is>
      </c>
      <c r="G29" s="38" t="n">
        <v>46218</v>
      </c>
      <c r="H29" s="38" t="n">
        <v>46220</v>
      </c>
      <c r="I29" s="13" t="n">
        <v>2</v>
      </c>
      <c r="J29" s="13" t="inlineStr"/>
      <c r="K29" s="13" t="inlineStr"/>
    </row>
    <row r="30" ht="16.5" customHeight="1">
      <c r="A30" s="13" t="n">
        <v>27</v>
      </c>
      <c r="B30" s="13" t="inlineStr">
        <is>
          <t>阶段3</t>
        </is>
      </c>
      <c r="C30" s="13" t="inlineStr">
        <is>
          <t>文档加载</t>
        </is>
      </c>
      <c r="D30" s="13" t="inlineStr">
        <is>
          <t>UnstructuredMarkdownLoader</t>
        </is>
      </c>
      <c r="E30" s="9" t="inlineStr">
        <is>
          <t>已完成</t>
        </is>
      </c>
      <c r="F30" s="13" t="inlineStr">
        <is>
          <t>中</t>
        </is>
      </c>
      <c r="G30" s="38" t="n">
        <v>46218</v>
      </c>
      <c r="H30" s="38" t="n">
        <v>46220</v>
      </c>
      <c r="I30" s="13" t="n">
        <v>2</v>
      </c>
      <c r="J30" s="13" t="inlineStr">
        <is>
          <t>day9_multi_rag.py</t>
        </is>
      </c>
      <c r="K30" s="13" t="inlineStr">
        <is>
          <t>Day9</t>
        </is>
      </c>
    </row>
    <row r="31" ht="16.5" customHeight="1">
      <c r="A31" s="13" t="n">
        <v>28</v>
      </c>
      <c r="B31" s="13" t="inlineStr">
        <is>
          <t>阶段3</t>
        </is>
      </c>
      <c r="C31" s="13" t="inlineStr">
        <is>
          <t>文档加载</t>
        </is>
      </c>
      <c r="D31" s="13" t="inlineStr">
        <is>
          <t>PDF 加载（PyPDF）</t>
        </is>
      </c>
      <c r="E31" s="13" t="inlineStr">
        <is>
          <t>未开始</t>
        </is>
      </c>
      <c r="F31" s="13" t="inlineStr">
        <is>
          <t>中</t>
        </is>
      </c>
      <c r="G31" s="13" t="n"/>
      <c r="H31" s="13" t="n"/>
      <c r="I31" s="13" t="n"/>
      <c r="J31" s="13" t="inlineStr"/>
      <c r="K31" s="13" t="inlineStr"/>
    </row>
    <row r="32" ht="16.5" customHeight="1">
      <c r="A32" s="13" t="n">
        <v>29</v>
      </c>
      <c r="B32" s="13" t="inlineStr">
        <is>
          <t>阶段3</t>
        </is>
      </c>
      <c r="C32" s="13" t="inlineStr">
        <is>
          <t>文本切分</t>
        </is>
      </c>
      <c r="D32" s="13" t="inlineStr">
        <is>
          <t>RecursiveCharacterTextSplitter</t>
        </is>
      </c>
      <c r="E32" s="9" t="inlineStr">
        <is>
          <t>已完成</t>
        </is>
      </c>
      <c r="F32" s="13" t="inlineStr">
        <is>
          <t>高</t>
        </is>
      </c>
      <c r="G32" s="38" t="n">
        <v>46218</v>
      </c>
      <c r="H32" s="38" t="n">
        <v>46220</v>
      </c>
      <c r="I32" s="13" t="n">
        <v>2</v>
      </c>
      <c r="J32" s="13" t="inlineStr"/>
      <c r="K32" s="13" t="inlineStr"/>
    </row>
    <row r="33" ht="16.5" customHeight="1">
      <c r="A33" s="13" t="n">
        <v>30</v>
      </c>
      <c r="B33" s="13" t="inlineStr">
        <is>
          <t>阶段3</t>
        </is>
      </c>
      <c r="C33" s="13" t="inlineStr">
        <is>
          <t>文本切分</t>
        </is>
      </c>
      <c r="D33" s="13" t="inlineStr">
        <is>
          <t>MarkdownHeaderTextSplitter</t>
        </is>
      </c>
      <c r="E33" s="13" t="inlineStr">
        <is>
          <t>未开始</t>
        </is>
      </c>
      <c r="F33" s="13" t="inlineStr">
        <is>
          <t>中</t>
        </is>
      </c>
      <c r="G33" s="13" t="n"/>
      <c r="H33" s="13" t="n"/>
      <c r="I33" s="13" t="n"/>
      <c r="J33" s="13" t="inlineStr"/>
      <c r="K33" s="13" t="inlineStr"/>
    </row>
    <row r="34" ht="16.5" customHeight="1">
      <c r="A34" s="13" t="n">
        <v>31</v>
      </c>
      <c r="B34" s="13" t="inlineStr">
        <is>
          <t>阶段3</t>
        </is>
      </c>
      <c r="C34" s="13" t="inlineStr">
        <is>
          <t>嵌入模型</t>
        </is>
      </c>
      <c r="D34" s="13" t="inlineStr">
        <is>
          <t>HuggingFaceEmbeddings (BGE)</t>
        </is>
      </c>
      <c r="E34" s="9" t="inlineStr">
        <is>
          <t>已完成</t>
        </is>
      </c>
      <c r="F34" s="13" t="inlineStr">
        <is>
          <t>高</t>
        </is>
      </c>
      <c r="G34" s="38" t="n">
        <v>46218</v>
      </c>
      <c r="H34" s="38" t="n">
        <v>46220</v>
      </c>
      <c r="I34" s="13" t="n">
        <v>3</v>
      </c>
      <c r="J34" s="13" t="inlineStr">
        <is>
          <t>BAAI/bge-small-zh-v1.5</t>
        </is>
      </c>
      <c r="K34" s="13" t="inlineStr"/>
    </row>
    <row r="35" ht="16.5" customHeight="1">
      <c r="A35" s="13" t="n">
        <v>32</v>
      </c>
      <c r="B35" s="13" t="inlineStr">
        <is>
          <t>阶段3</t>
        </is>
      </c>
      <c r="C35" s="13" t="inlineStr">
        <is>
          <t>嵌入模型</t>
        </is>
      </c>
      <c r="D35" s="13" t="inlineStr">
        <is>
          <t>OpenAIEmbeddings（硅基流动）</t>
        </is>
      </c>
      <c r="E35" s="9" t="inlineStr">
        <is>
          <t>已完成</t>
        </is>
      </c>
      <c r="F35" s="13" t="inlineStr">
        <is>
          <t>中</t>
        </is>
      </c>
      <c r="G35" s="38" t="n">
        <v>46218</v>
      </c>
      <c r="H35" s="38" t="n">
        <v>46220</v>
      </c>
      <c r="I35" s="13" t="n">
        <v>2</v>
      </c>
      <c r="J35" s="13" t="inlineStr"/>
      <c r="K35" s="13" t="inlineStr"/>
    </row>
    <row r="36" ht="16.5" customHeight="1">
      <c r="A36" s="13" t="n">
        <v>33</v>
      </c>
      <c r="B36" s="13" t="inlineStr">
        <is>
          <t>阶段3</t>
        </is>
      </c>
      <c r="C36" s="13" t="inlineStr">
        <is>
          <t>向量数据库</t>
        </is>
      </c>
      <c r="D36" s="13" t="inlineStr">
        <is>
          <t>Chroma 基础（本地持久化）</t>
        </is>
      </c>
      <c r="E36" s="9" t="inlineStr">
        <is>
          <t>已完成</t>
        </is>
      </c>
      <c r="F36" s="13" t="inlineStr">
        <is>
          <t>高</t>
        </is>
      </c>
      <c r="G36" s="38" t="n">
        <v>46220</v>
      </c>
      <c r="H36" s="38" t="n">
        <v>46220</v>
      </c>
      <c r="I36" s="13" t="n">
        <v>3</v>
      </c>
      <c r="J36" s="13" t="inlineStr">
        <is>
          <t>chroma_multi/</t>
        </is>
      </c>
      <c r="K36" s="13" t="inlineStr"/>
    </row>
    <row r="37" ht="16.5" customHeight="1">
      <c r="A37" s="13" t="n">
        <v>34</v>
      </c>
      <c r="B37" s="13" t="inlineStr">
        <is>
          <t>阶段3</t>
        </is>
      </c>
      <c r="C37" s="13" t="inlineStr">
        <is>
          <t>向量数据库</t>
        </is>
      </c>
      <c r="D37" s="13" t="inlineStr">
        <is>
          <t>Retriever 配置（k/MMR/相似度阈值）</t>
        </is>
      </c>
      <c r="E37" s="9" t="inlineStr">
        <is>
          <t>已完成</t>
        </is>
      </c>
      <c r="F37" s="13" t="inlineStr">
        <is>
          <t>高</t>
        </is>
      </c>
      <c r="G37" s="38" t="n">
        <v>46220</v>
      </c>
      <c r="H37" s="38" t="n">
        <v>46222</v>
      </c>
      <c r="I37" s="13" t="n">
        <v>2</v>
      </c>
      <c r="J37" s="13" t="inlineStr"/>
      <c r="K37" s="13" t="inlineStr"/>
    </row>
    <row r="38" ht="16.5" customHeight="1">
      <c r="A38" s="13" t="n">
        <v>35</v>
      </c>
      <c r="B38" s="13" t="inlineStr">
        <is>
          <t>阶段3</t>
        </is>
      </c>
      <c r="C38" s="13" t="inlineStr">
        <is>
          <t>RAG基础</t>
        </is>
      </c>
      <c r="D38" s="13" t="inlineStr">
        <is>
          <t>单文档 RAG Chain</t>
        </is>
      </c>
      <c r="E38" s="9" t="inlineStr">
        <is>
          <t>已完成</t>
        </is>
      </c>
      <c r="F38" s="13" t="inlineStr">
        <is>
          <t>高</t>
        </is>
      </c>
      <c r="G38" s="38" t="n">
        <v>46220</v>
      </c>
      <c r="H38" s="38" t="n">
        <v>46222</v>
      </c>
      <c r="I38" s="13" t="n">
        <v>3</v>
      </c>
      <c r="J38" s="13" t="inlineStr"/>
      <c r="K38" s="13" t="inlineStr"/>
    </row>
    <row r="39" ht="16.5" customHeight="1">
      <c r="A39" s="13" t="n">
        <v>36</v>
      </c>
      <c r="B39" s="13" t="inlineStr">
        <is>
          <t>阶段3</t>
        </is>
      </c>
      <c r="C39" s="13" t="inlineStr">
        <is>
          <t>RAG基础</t>
        </is>
      </c>
      <c r="D39" s="13" t="inlineStr">
        <is>
          <t>多文档 RAG Chain</t>
        </is>
      </c>
      <c r="E39" s="9" t="inlineStr">
        <is>
          <t>已完成</t>
        </is>
      </c>
      <c r="F39" s="13" t="inlineStr">
        <is>
          <t>高</t>
        </is>
      </c>
      <c r="G39" s="38" t="n">
        <v>46222</v>
      </c>
      <c r="H39" s="38" t="n">
        <v>46222</v>
      </c>
      <c r="I39" s="13" t="n">
        <v>4</v>
      </c>
      <c r="J39" s="13" t="inlineStr">
        <is>
          <t>day9_multi_rag.py</t>
        </is>
      </c>
      <c r="K39" s="13" t="inlineStr">
        <is>
          <t>Day9</t>
        </is>
      </c>
    </row>
    <row r="40" ht="16.5" customHeight="1">
      <c r="A40" s="13" t="n">
        <v>37</v>
      </c>
      <c r="B40" s="13" t="inlineStr">
        <is>
          <t>阶段3</t>
        </is>
      </c>
      <c r="C40" s="13" t="inlineStr">
        <is>
          <t>RAG进阶</t>
        </is>
      </c>
      <c r="D40" s="13" t="inlineStr">
        <is>
          <t>Reranker 提升召回质量</t>
        </is>
      </c>
      <c r="E40" s="13" t="inlineStr">
        <is>
          <t>未开始</t>
        </is>
      </c>
      <c r="F40" s="13" t="inlineStr">
        <is>
          <t>中</t>
        </is>
      </c>
      <c r="G40" s="13" t="n"/>
      <c r="H40" s="13" t="n"/>
      <c r="I40" s="13" t="n"/>
      <c r="J40" s="13" t="inlineStr"/>
      <c r="K40" s="13" t="inlineStr"/>
    </row>
    <row r="41" ht="16.5" customHeight="1">
      <c r="A41" s="13" t="n">
        <v>38</v>
      </c>
      <c r="B41" s="13" t="inlineStr">
        <is>
          <t>阶段3</t>
        </is>
      </c>
      <c r="C41" s="13" t="inlineStr">
        <is>
          <t>RAG进阶</t>
        </is>
      </c>
      <c r="D41" s="13" t="inlineStr">
        <is>
          <t>混合检索（BM25 + 向量）</t>
        </is>
      </c>
      <c r="E41" s="13" t="inlineStr">
        <is>
          <t>未开始</t>
        </is>
      </c>
      <c r="F41" s="13" t="inlineStr">
        <is>
          <t>中</t>
        </is>
      </c>
      <c r="G41" s="13" t="n"/>
      <c r="H41" s="13" t="n"/>
      <c r="I41" s="13" t="n"/>
      <c r="J41" s="13" t="inlineStr"/>
      <c r="K41" s="13" t="inlineStr"/>
    </row>
    <row r="42" ht="16.5" customHeight="1">
      <c r="A42" s="13" t="n">
        <v>39</v>
      </c>
      <c r="B42" s="13" t="inlineStr">
        <is>
          <t>阶段3</t>
        </is>
      </c>
      <c r="C42" s="13" t="inlineStr">
        <is>
          <t>RAG进阶</t>
        </is>
      </c>
      <c r="D42" s="13" t="inlineStr">
        <is>
          <t>元数据过滤</t>
        </is>
      </c>
      <c r="E42" s="13" t="inlineStr">
        <is>
          <t>未开始</t>
        </is>
      </c>
      <c r="F42" s="13" t="inlineStr">
        <is>
          <t>中</t>
        </is>
      </c>
      <c r="G42" s="13" t="n"/>
      <c r="H42" s="13" t="n"/>
      <c r="I42" s="13" t="n"/>
      <c r="J42" s="13" t="inlineStr"/>
      <c r="K42" s="13" t="inlineStr"/>
    </row>
    <row r="43" ht="16.5" customHeight="1">
      <c r="A43" s="15" t="n">
        <v>40</v>
      </c>
      <c r="B43" s="15" t="inlineStr">
        <is>
          <t>阶段4</t>
        </is>
      </c>
      <c r="C43" s="15" t="inlineStr">
        <is>
          <t>基础概念</t>
        </is>
      </c>
      <c r="D43" s="15" t="inlineStr">
        <is>
          <t>StateGraph / State / Node / Edge</t>
        </is>
      </c>
      <c r="E43" s="9" t="inlineStr">
        <is>
          <t>已完成</t>
        </is>
      </c>
      <c r="F43" s="15" t="inlineStr">
        <is>
          <t>高</t>
        </is>
      </c>
      <c r="G43" s="39" t="n">
        <v>46222</v>
      </c>
      <c r="H43" s="39" t="n">
        <v>46224</v>
      </c>
      <c r="I43" s="15" t="n">
        <v>4</v>
      </c>
      <c r="J43" s="15" t="inlineStr">
        <is>
          <t>day11_langgraph_basic.py</t>
        </is>
      </c>
      <c r="K43" s="15" t="inlineStr">
        <is>
          <t>Day11</t>
        </is>
      </c>
    </row>
    <row r="44" ht="16.5" customHeight="1">
      <c r="A44" s="15" t="n">
        <v>41</v>
      </c>
      <c r="B44" s="15" t="inlineStr">
        <is>
          <t>阶段4</t>
        </is>
      </c>
      <c r="C44" s="15" t="inlineStr">
        <is>
          <t>基础概念</t>
        </is>
      </c>
      <c r="D44" s="15" t="inlineStr">
        <is>
          <t>TypedDict 状态定义</t>
        </is>
      </c>
      <c r="E44" s="9" t="inlineStr">
        <is>
          <t>已完成</t>
        </is>
      </c>
      <c r="F44" s="15" t="inlineStr">
        <is>
          <t>高</t>
        </is>
      </c>
      <c r="G44" s="39" t="n">
        <v>46222</v>
      </c>
      <c r="H44" s="39" t="n">
        <v>46224</v>
      </c>
      <c r="I44" s="15" t="n">
        <v>2</v>
      </c>
      <c r="J44" s="15" t="inlineStr"/>
      <c r="K44" s="15" t="inlineStr"/>
    </row>
    <row r="45" ht="16.5" customHeight="1">
      <c r="A45" s="15" t="n">
        <v>42</v>
      </c>
      <c r="B45" s="15" t="inlineStr">
        <is>
          <t>阶段4</t>
        </is>
      </c>
      <c r="C45" s="15" t="inlineStr">
        <is>
          <t>基础概念</t>
        </is>
      </c>
      <c r="D45" s="15" t="inlineStr">
        <is>
          <t>add_node / add_edge / set_entry_point</t>
        </is>
      </c>
      <c r="E45" s="9" t="inlineStr">
        <is>
          <t>已完成</t>
        </is>
      </c>
      <c r="F45" s="15" t="inlineStr">
        <is>
          <t>高</t>
        </is>
      </c>
      <c r="G45" s="39" t="n">
        <v>46222</v>
      </c>
      <c r="H45" s="39" t="n">
        <v>46224</v>
      </c>
      <c r="I45" s="15" t="n">
        <v>2</v>
      </c>
      <c r="J45" s="15" t="inlineStr"/>
      <c r="K45" s="15" t="inlineStr"/>
    </row>
    <row r="46" ht="16.5" customHeight="1">
      <c r="A46" s="15" t="n">
        <v>43</v>
      </c>
      <c r="B46" s="15" t="inlineStr">
        <is>
          <t>阶段4</t>
        </is>
      </c>
      <c r="C46" s="15" t="inlineStr">
        <is>
          <t>基础概念</t>
        </is>
      </c>
      <c r="D46" s="15" t="inlineStr">
        <is>
          <t>graph.compile() 与 invoke()</t>
        </is>
      </c>
      <c r="E46" s="9" t="inlineStr">
        <is>
          <t>已完成</t>
        </is>
      </c>
      <c r="F46" s="15" t="inlineStr">
        <is>
          <t>高</t>
        </is>
      </c>
      <c r="G46" s="39" t="n">
        <v>46222</v>
      </c>
      <c r="H46" s="39" t="n">
        <v>46224</v>
      </c>
      <c r="I46" s="15" t="n">
        <v>2</v>
      </c>
      <c r="J46" s="15" t="inlineStr"/>
      <c r="K46" s="15" t="inlineStr"/>
    </row>
    <row r="47" ht="16.5" customHeight="1">
      <c r="A47" s="15" t="n">
        <v>44</v>
      </c>
      <c r="B47" s="15" t="inlineStr">
        <is>
          <t>阶段4</t>
        </is>
      </c>
      <c r="C47" s="15" t="inlineStr">
        <is>
          <t>条件路由</t>
        </is>
      </c>
      <c r="D47" s="15" t="inlineStr">
        <is>
          <t>add_conditional_edges</t>
        </is>
      </c>
      <c r="E47" s="9" t="inlineStr">
        <is>
          <t>已完成</t>
        </is>
      </c>
      <c r="F47" s="15" t="inlineStr">
        <is>
          <t>高</t>
        </is>
      </c>
      <c r="G47" s="39" t="n">
        <v>46224</v>
      </c>
      <c r="H47" s="39" t="n">
        <v>46224</v>
      </c>
      <c r="I47" s="15" t="n">
        <v>3</v>
      </c>
      <c r="J47" s="15" t="inlineStr">
        <is>
          <t>day11_agent_graph.py</t>
        </is>
      </c>
      <c r="K47" s="15" t="inlineStr">
        <is>
          <t>Day11</t>
        </is>
      </c>
    </row>
    <row r="48" ht="16.5" customHeight="1">
      <c r="A48" s="15" t="n">
        <v>45</v>
      </c>
      <c r="B48" s="15" t="inlineStr">
        <is>
          <t>阶段4</t>
        </is>
      </c>
      <c r="C48" s="15" t="inlineStr">
        <is>
          <t>条件路由</t>
        </is>
      </c>
      <c r="D48" s="15" t="inlineStr">
        <is>
          <t>路由函数返回字符串</t>
        </is>
      </c>
      <c r="E48" s="9" t="inlineStr">
        <is>
          <t>已完成</t>
        </is>
      </c>
      <c r="F48" s="15" t="inlineStr">
        <is>
          <t>高</t>
        </is>
      </c>
      <c r="G48" s="39" t="n">
        <v>46224</v>
      </c>
      <c r="H48" s="39" t="n">
        <v>46224</v>
      </c>
      <c r="I48" s="15" t="n">
        <v>1</v>
      </c>
      <c r="J48" s="15" t="inlineStr"/>
      <c r="K48" s="15" t="inlineStr">
        <is>
          <t>防坑：不能返dict</t>
        </is>
      </c>
    </row>
    <row r="49" ht="16.5" customHeight="1">
      <c r="A49" s="15" t="n">
        <v>46</v>
      </c>
      <c r="B49" s="15" t="inlineStr">
        <is>
          <t>阶段4</t>
        </is>
      </c>
      <c r="C49" s="15" t="inlineStr">
        <is>
          <t>条件路由</t>
        </is>
      </c>
      <c r="D49" s="15" t="inlineStr">
        <is>
          <t>mapping 字典设计</t>
        </is>
      </c>
      <c r="E49" s="9" t="inlineStr">
        <is>
          <t>已完成</t>
        </is>
      </c>
      <c r="F49" s="15" t="inlineStr">
        <is>
          <t>高</t>
        </is>
      </c>
      <c r="G49" s="39" t="n">
        <v>46224</v>
      </c>
      <c r="H49" s="39" t="n">
        <v>46224</v>
      </c>
      <c r="I49" s="15" t="n">
        <v>1</v>
      </c>
      <c r="J49" s="15" t="inlineStr"/>
      <c r="K49" s="15" t="inlineStr">
        <is>
          <t>键与返回值一致</t>
        </is>
      </c>
    </row>
    <row r="50" ht="16.5" customHeight="1">
      <c r="A50" s="15" t="n">
        <v>47</v>
      </c>
      <c r="B50" s="15" t="inlineStr">
        <is>
          <t>阶段4</t>
        </is>
      </c>
      <c r="C50" s="15" t="inlineStr">
        <is>
          <t>循环图</t>
        </is>
      </c>
      <c r="D50" s="15" t="inlineStr">
        <is>
          <t>Agent → Tool → Agent 循环</t>
        </is>
      </c>
      <c r="E50" s="9" t="inlineStr">
        <is>
          <t>已完成</t>
        </is>
      </c>
      <c r="F50" s="15" t="inlineStr">
        <is>
          <t>高</t>
        </is>
      </c>
      <c r="G50" s="39" t="n">
        <v>46226</v>
      </c>
      <c r="H50" s="39" t="n">
        <v>46226</v>
      </c>
      <c r="I50" s="15" t="n">
        <v>4</v>
      </c>
      <c r="J50" s="15" t="inlineStr">
        <is>
          <t>day12_agent_tools.py</t>
        </is>
      </c>
      <c r="K50" s="15" t="inlineStr">
        <is>
          <t>Day12</t>
        </is>
      </c>
    </row>
    <row r="51" ht="16.5" customHeight="1">
      <c r="A51" s="15" t="n">
        <v>48</v>
      </c>
      <c r="B51" s="15" t="inlineStr">
        <is>
          <t>阶段4</t>
        </is>
      </c>
      <c r="C51" s="15" t="inlineStr">
        <is>
          <t>消息系统</t>
        </is>
      </c>
      <c r="D51" s="15" t="inlineStr">
        <is>
          <t>State.messages + add_messages reducer</t>
        </is>
      </c>
      <c r="E51" s="9" t="inlineStr">
        <is>
          <t>已完成</t>
        </is>
      </c>
      <c r="F51" s="15" t="inlineStr">
        <is>
          <t>高</t>
        </is>
      </c>
      <c r="G51" s="39" t="n">
        <v>46226</v>
      </c>
      <c r="H51" s="39" t="n">
        <v>46226</v>
      </c>
      <c r="I51" s="15" t="n">
        <v>2</v>
      </c>
      <c r="J51" s="15" t="inlineStr"/>
      <c r="K51" s="15" t="inlineStr"/>
    </row>
    <row r="52" ht="16.5" customHeight="1">
      <c r="A52" s="15" t="n">
        <v>49</v>
      </c>
      <c r="B52" s="15" t="inlineStr">
        <is>
          <t>阶段4</t>
        </is>
      </c>
      <c r="C52" s="15" t="inlineStr">
        <is>
          <t>人机协作</t>
        </is>
      </c>
      <c r="D52" s="15" t="inlineStr">
        <is>
          <t>interrupt_before / interrupt_after</t>
        </is>
      </c>
      <c r="E52" s="15" t="inlineStr">
        <is>
          <t>未开始</t>
        </is>
      </c>
      <c r="F52" s="15" t="inlineStr">
        <is>
          <t>中</t>
        </is>
      </c>
      <c r="G52" s="15" t="n"/>
      <c r="H52" s="15" t="n"/>
      <c r="I52" s="15" t="n"/>
      <c r="J52" s="15" t="inlineStr"/>
      <c r="K52" s="15" t="inlineStr"/>
    </row>
    <row r="53" ht="16.5" customHeight="1">
      <c r="A53" s="15" t="n">
        <v>50</v>
      </c>
      <c r="B53" s="15" t="inlineStr">
        <is>
          <t>阶段4</t>
        </is>
      </c>
      <c r="C53" s="15" t="inlineStr">
        <is>
          <t>子图</t>
        </is>
      </c>
      <c r="D53" s="15" t="inlineStr">
        <is>
          <t>子图嵌套（Subgraph）</t>
        </is>
      </c>
      <c r="E53" s="15" t="inlineStr">
        <is>
          <t>未开始</t>
        </is>
      </c>
      <c r="F53" s="15" t="inlineStr">
        <is>
          <t>中</t>
        </is>
      </c>
      <c r="G53" s="15" t="n"/>
      <c r="H53" s="15" t="n"/>
      <c r="I53" s="15" t="n"/>
      <c r="J53" s="15" t="inlineStr"/>
      <c r="K53" s="15" t="inlineStr"/>
    </row>
    <row r="54" ht="16.5" customHeight="1">
      <c r="A54" s="15" t="n">
        <v>51</v>
      </c>
      <c r="B54" s="15" t="inlineStr">
        <is>
          <t>阶段4</t>
        </is>
      </c>
      <c r="C54" s="15" t="inlineStr">
        <is>
          <t>持久化</t>
        </is>
      </c>
      <c r="D54" s="15" t="inlineStr">
        <is>
          <t>MemorySaver / SqliteSaver</t>
        </is>
      </c>
      <c r="E54" s="15" t="inlineStr">
        <is>
          <t>未开始</t>
        </is>
      </c>
      <c r="F54" s="15" t="inlineStr">
        <is>
          <t>高</t>
        </is>
      </c>
      <c r="G54" s="15" t="n"/>
      <c r="H54" s="15" t="n"/>
      <c r="I54" s="15" t="n"/>
      <c r="J54" s="15" t="inlineStr"/>
      <c r="K54" s="15" t="inlineStr"/>
    </row>
    <row r="55" ht="16.5" customHeight="1">
      <c r="A55" s="15" t="n">
        <v>52</v>
      </c>
      <c r="B55" s="15" t="inlineStr">
        <is>
          <t>阶段4</t>
        </is>
      </c>
      <c r="C55" s="15" t="inlineStr">
        <is>
          <t>流式输出</t>
        </is>
      </c>
      <c r="D55" s="15" t="inlineStr">
        <is>
          <t>graph.stream() 流式事件</t>
        </is>
      </c>
      <c r="E55" s="15" t="inlineStr">
        <is>
          <t>未开始</t>
        </is>
      </c>
      <c r="F55" s="15" t="inlineStr">
        <is>
          <t>中</t>
        </is>
      </c>
      <c r="G55" s="15" t="n"/>
      <c r="H55" s="15" t="n"/>
      <c r="I55" s="15" t="n"/>
      <c r="J55" s="15" t="inlineStr"/>
      <c r="K55" s="15" t="inlineStr"/>
    </row>
    <row r="56" ht="16.5" customHeight="1">
      <c r="A56" s="17" t="n">
        <v>53</v>
      </c>
      <c r="B56" s="17" t="inlineStr">
        <is>
          <t>阶段5</t>
        </is>
      </c>
      <c r="C56" s="17" t="inlineStr">
        <is>
          <t>工具调用</t>
        </is>
      </c>
      <c r="D56" s="17" t="inlineStr">
        <is>
          <t>@tool 装饰器定义工具</t>
        </is>
      </c>
      <c r="E56" s="9" t="inlineStr">
        <is>
          <t>已完成</t>
        </is>
      </c>
      <c r="F56" s="17" t="inlineStr">
        <is>
          <t>高</t>
        </is>
      </c>
      <c r="G56" s="40" t="n">
        <v>46226</v>
      </c>
      <c r="H56" s="40" t="n">
        <v>46226</v>
      </c>
      <c r="I56" s="17" t="n">
        <v>2</v>
      </c>
      <c r="J56" s="17" t="inlineStr">
        <is>
          <t>day12_agent_tools.py</t>
        </is>
      </c>
      <c r="K56" s="17" t="inlineStr">
        <is>
          <t>Day12</t>
        </is>
      </c>
    </row>
    <row r="57" ht="16.5" customHeight="1">
      <c r="A57" s="17" t="n">
        <v>54</v>
      </c>
      <c r="B57" s="17" t="inlineStr">
        <is>
          <t>阶段5</t>
        </is>
      </c>
      <c r="C57" s="17" t="inlineStr">
        <is>
          <t>工具调用</t>
        </is>
      </c>
      <c r="D57" s="17" t="inlineStr">
        <is>
          <t>llm.bind_tools()</t>
        </is>
      </c>
      <c r="E57" s="9" t="inlineStr">
        <is>
          <t>已完成</t>
        </is>
      </c>
      <c r="F57" s="17" t="inlineStr">
        <is>
          <t>高</t>
        </is>
      </c>
      <c r="G57" s="40" t="n">
        <v>46226</v>
      </c>
      <c r="H57" s="40" t="n">
        <v>46226</v>
      </c>
      <c r="I57" s="17" t="n">
        <v>1</v>
      </c>
      <c r="J57" s="17" t="inlineStr"/>
      <c r="K57" s="17" t="inlineStr"/>
    </row>
    <row r="58" ht="16.5" customHeight="1">
      <c r="A58" s="17" t="n">
        <v>55</v>
      </c>
      <c r="B58" s="17" t="inlineStr">
        <is>
          <t>阶段5</t>
        </is>
      </c>
      <c r="C58" s="17" t="inlineStr">
        <is>
          <t>工具调用</t>
        </is>
      </c>
      <c r="D58" s="17" t="inlineStr">
        <is>
          <t>ToolMessage 返回结构</t>
        </is>
      </c>
      <c r="E58" s="9" t="inlineStr">
        <is>
          <t>已完成</t>
        </is>
      </c>
      <c r="F58" s="17" t="inlineStr">
        <is>
          <t>高</t>
        </is>
      </c>
      <c r="G58" s="40" t="n">
        <v>46226</v>
      </c>
      <c r="H58" s="40" t="n">
        <v>46226</v>
      </c>
      <c r="I58" s="17" t="n">
        <v>1</v>
      </c>
      <c r="J58" s="17" t="inlineStr"/>
      <c r="K58" s="17" t="inlineStr"/>
    </row>
    <row r="59" ht="16.5" customHeight="1">
      <c r="A59" s="17" t="n">
        <v>56</v>
      </c>
      <c r="B59" s="17" t="inlineStr">
        <is>
          <t>阶段5</t>
        </is>
      </c>
      <c r="C59" s="17" t="inlineStr">
        <is>
          <t>工具调用</t>
        </is>
      </c>
      <c r="D59" s="17" t="inlineStr">
        <is>
          <t>工具错误处理（ToolMessage error）</t>
        </is>
      </c>
      <c r="E59" s="17" t="inlineStr">
        <is>
          <t>未开始</t>
        </is>
      </c>
      <c r="F59" s="17" t="inlineStr">
        <is>
          <t>中</t>
        </is>
      </c>
      <c r="G59" s="17" t="n"/>
      <c r="H59" s="17" t="n"/>
      <c r="I59" s="17" t="n"/>
      <c r="J59" s="17" t="inlineStr"/>
      <c r="K59" s="17" t="inlineStr"/>
    </row>
    <row r="60" ht="16.5" customHeight="1">
      <c r="A60" s="17" t="n">
        <v>57</v>
      </c>
      <c r="B60" s="17" t="inlineStr">
        <is>
          <t>阶段5</t>
        </is>
      </c>
      <c r="C60" s="17" t="inlineStr">
        <is>
          <t>工具调用</t>
        </is>
      </c>
      <c r="D60" s="17" t="inlineStr">
        <is>
          <t>动态工具选择</t>
        </is>
      </c>
      <c r="E60" s="17" t="inlineStr">
        <is>
          <t>未开始</t>
        </is>
      </c>
      <c r="F60" s="17" t="inlineStr">
        <is>
          <t>高</t>
        </is>
      </c>
      <c r="G60" s="17" t="n"/>
      <c r="H60" s="17" t="n"/>
      <c r="I60" s="17" t="n"/>
      <c r="J60" s="17" t="inlineStr"/>
      <c r="K60" s="17" t="inlineStr"/>
    </row>
    <row r="61" ht="16.5" customHeight="1">
      <c r="A61" s="17" t="n">
        <v>58</v>
      </c>
      <c r="B61" s="17" t="inlineStr">
        <is>
          <t>阶段5</t>
        </is>
      </c>
      <c r="C61" s="17" t="inlineStr">
        <is>
          <t>多工具Agent</t>
        </is>
      </c>
      <c r="D61" s="17" t="inlineStr">
        <is>
          <t>search + calculate + time 三工具</t>
        </is>
      </c>
      <c r="E61" s="17" t="inlineStr">
        <is>
          <t>已完成</t>
        </is>
      </c>
      <c r="F61" s="17" t="inlineStr">
        <is>
          <t>高</t>
        </is>
      </c>
      <c r="G61" s="40" t="n">
        <v>46226</v>
      </c>
      <c r="H61" s="42" t="n">
        <v>46227</v>
      </c>
      <c r="I61" s="17" t="n"/>
      <c r="J61" s="17" t="inlineStr">
        <is>
          <t>day12_agent_tools.py</t>
        </is>
      </c>
      <c r="K61" s="17" t="inlineStr">
        <is>
          <t>Day13 多工具Agent</t>
        </is>
      </c>
    </row>
    <row r="62" ht="16.5" customHeight="1">
      <c r="A62" s="17" t="n">
        <v>59</v>
      </c>
      <c r="B62" s="17" t="inlineStr">
        <is>
          <t>阶段5</t>
        </is>
      </c>
      <c r="C62" s="17" t="inlineStr">
        <is>
          <t>多工具Agent</t>
        </is>
      </c>
      <c r="D62" s="17" t="inlineStr">
        <is>
          <t>Tool Calling 复杂参数处理</t>
        </is>
      </c>
      <c r="E62" s="17" t="inlineStr">
        <is>
          <t>未开始</t>
        </is>
      </c>
      <c r="F62" s="17" t="inlineStr">
        <is>
          <t>中</t>
        </is>
      </c>
      <c r="G62" s="17" t="n"/>
      <c r="H62" s="17" t="n"/>
      <c r="I62" s="17" t="n"/>
      <c r="J62" s="17" t="inlineStr"/>
      <c r="K62" s="17" t="inlineStr"/>
    </row>
    <row r="63" ht="16.5" customHeight="1">
      <c r="A63" s="17" t="n">
        <v>60</v>
      </c>
      <c r="B63" s="17" t="inlineStr">
        <is>
          <t>阶段5</t>
        </is>
      </c>
      <c r="C63" s="17" t="inlineStr">
        <is>
          <t>多Agent框架</t>
        </is>
      </c>
      <c r="D63" s="17" t="inlineStr">
        <is>
          <t>LangGraph Supervisor 模式</t>
        </is>
      </c>
      <c r="E63" s="17" t="inlineStr">
        <is>
          <t>未开始</t>
        </is>
      </c>
      <c r="F63" s="17" t="inlineStr">
        <is>
          <t>高</t>
        </is>
      </c>
      <c r="G63" s="17" t="n"/>
      <c r="H63" s="17" t="n"/>
      <c r="I63" s="17" t="n"/>
      <c r="J63" s="17" t="inlineStr"/>
      <c r="K63" s="17" t="inlineStr"/>
    </row>
    <row r="64" ht="16.5" customHeight="1">
      <c r="A64" s="17" t="n">
        <v>61</v>
      </c>
      <c r="B64" s="17" t="inlineStr">
        <is>
          <t>阶段5</t>
        </is>
      </c>
      <c r="C64" s="17" t="inlineStr">
        <is>
          <t>多Agent框架</t>
        </is>
      </c>
      <c r="D64" s="17" t="inlineStr">
        <is>
          <t>CrewAI 基础</t>
        </is>
      </c>
      <c r="E64" s="17" t="inlineStr">
        <is>
          <t>未开始</t>
        </is>
      </c>
      <c r="F64" s="17" t="inlineStr">
        <is>
          <t>中</t>
        </is>
      </c>
      <c r="G64" s="17" t="n"/>
      <c r="H64" s="17" t="n"/>
      <c r="I64" s="17" t="n"/>
      <c r="J64" s="17" t="inlineStr"/>
      <c r="K64" s="17" t="inlineStr"/>
    </row>
    <row r="65" ht="16.5" customHeight="1">
      <c r="A65" s="17" t="n">
        <v>62</v>
      </c>
      <c r="B65" s="17" t="inlineStr">
        <is>
          <t>阶段5</t>
        </is>
      </c>
      <c r="C65" s="17" t="inlineStr">
        <is>
          <t>多Agent框架</t>
        </is>
      </c>
      <c r="D65" s="17" t="inlineStr">
        <is>
          <t>AutoGen 基础</t>
        </is>
      </c>
      <c r="E65" s="17" t="inlineStr">
        <is>
          <t>未开始</t>
        </is>
      </c>
      <c r="F65" s="17" t="inlineStr">
        <is>
          <t>中</t>
        </is>
      </c>
      <c r="G65" s="17" t="n"/>
      <c r="H65" s="17" t="n"/>
      <c r="I65" s="17" t="n"/>
      <c r="J65" s="17" t="inlineStr"/>
      <c r="K65" s="17" t="inlineStr"/>
    </row>
    <row r="66" ht="16.5" customHeight="1">
      <c r="A66" s="17" t="n">
        <v>63</v>
      </c>
      <c r="B66" s="17" t="inlineStr">
        <is>
          <t>阶段5</t>
        </is>
      </c>
      <c r="C66" s="17" t="inlineStr">
        <is>
          <t>Agent评估</t>
        </is>
      </c>
      <c r="D66" s="17" t="inlineStr">
        <is>
          <t>LangSmith 追踪与评估</t>
        </is>
      </c>
      <c r="E66" s="17" t="inlineStr">
        <is>
          <t>未开始</t>
        </is>
      </c>
      <c r="F66" s="17" t="inlineStr">
        <is>
          <t>高</t>
        </is>
      </c>
      <c r="G66" s="17" t="n"/>
      <c r="H66" s="17" t="n"/>
      <c r="I66" s="17" t="n"/>
      <c r="J66" s="17" t="inlineStr"/>
      <c r="K66" s="17" t="inlineStr"/>
    </row>
    <row r="67" ht="16.5" customHeight="1">
      <c r="A67" s="17" t="n">
        <v>64</v>
      </c>
      <c r="B67" s="17" t="inlineStr">
        <is>
          <t>阶段5</t>
        </is>
      </c>
      <c r="C67" s="17" t="inlineStr">
        <is>
          <t>生产实践</t>
        </is>
      </c>
      <c r="D67" s="17" t="inlineStr">
        <is>
          <t>Agent 限流与重试</t>
        </is>
      </c>
      <c r="E67" s="17" t="inlineStr">
        <is>
          <t>未开始</t>
        </is>
      </c>
      <c r="F67" s="17" t="inlineStr">
        <is>
          <t>中</t>
        </is>
      </c>
      <c r="G67" s="17" t="n"/>
      <c r="H67" s="17" t="n"/>
      <c r="I67" s="17" t="n"/>
      <c r="J67" s="17" t="inlineStr"/>
      <c r="K67" s="17" t="inlineStr"/>
    </row>
    <row r="68" ht="16.5" customHeight="1">
      <c r="A68" s="19" t="n">
        <v>65</v>
      </c>
      <c r="B68" s="19" t="inlineStr">
        <is>
          <t>阶段6</t>
        </is>
      </c>
      <c r="C68" s="19" t="inlineStr">
        <is>
          <t>Web框架</t>
        </is>
      </c>
      <c r="D68" s="19" t="inlineStr">
        <is>
          <t>FastAPI 基础（路由/Pydantic）</t>
        </is>
      </c>
      <c r="E68" s="19" t="inlineStr">
        <is>
          <t>未开始</t>
        </is>
      </c>
      <c r="F68" s="19" t="inlineStr">
        <is>
          <t>高</t>
        </is>
      </c>
      <c r="G68" s="19" t="n"/>
      <c r="H68" s="19" t="n"/>
      <c r="I68" s="19" t="n"/>
      <c r="J68" s="19" t="inlineStr"/>
      <c r="K68" s="19" t="inlineStr"/>
    </row>
    <row r="69" ht="16.5" customHeight="1">
      <c r="A69" s="19" t="n">
        <v>66</v>
      </c>
      <c r="B69" s="19" t="inlineStr">
        <is>
          <t>阶段6</t>
        </is>
      </c>
      <c r="C69" s="19" t="inlineStr">
        <is>
          <t>Web框架</t>
        </is>
      </c>
      <c r="D69" s="19" t="inlineStr">
        <is>
          <t>FastAPI 异步（async/await）</t>
        </is>
      </c>
      <c r="E69" s="19" t="inlineStr">
        <is>
          <t>未开始</t>
        </is>
      </c>
      <c r="F69" s="19" t="inlineStr">
        <is>
          <t>高</t>
        </is>
      </c>
      <c r="G69" s="19" t="n"/>
      <c r="H69" s="19" t="n"/>
      <c r="I69" s="19" t="n"/>
      <c r="J69" s="19" t="inlineStr"/>
      <c r="K69" s="19" t="inlineStr"/>
    </row>
    <row r="70" ht="16.5" customHeight="1">
      <c r="A70" s="19" t="n">
        <v>67</v>
      </c>
      <c r="B70" s="19" t="inlineStr">
        <is>
          <t>阶段6</t>
        </is>
      </c>
      <c r="C70" s="19" t="inlineStr">
        <is>
          <t>Web框架</t>
        </is>
      </c>
      <c r="D70" s="19" t="inlineStr">
        <is>
          <t>Flask 基础（备选）</t>
        </is>
      </c>
      <c r="E70" s="19" t="inlineStr">
        <is>
          <t>未开始</t>
        </is>
      </c>
      <c r="F70" s="19" t="inlineStr">
        <is>
          <t>低</t>
        </is>
      </c>
      <c r="G70" s="19" t="n"/>
      <c r="H70" s="19" t="n"/>
      <c r="I70" s="19" t="n"/>
      <c r="J70" s="19" t="inlineStr"/>
      <c r="K70" s="19" t="inlineStr"/>
    </row>
    <row r="71" ht="16.5" customHeight="1">
      <c r="A71" s="19" t="n">
        <v>68</v>
      </c>
      <c r="B71" s="19" t="inlineStr">
        <is>
          <t>阶段6</t>
        </is>
      </c>
      <c r="C71" s="19" t="inlineStr">
        <is>
          <t>API设计</t>
        </is>
      </c>
      <c r="D71" s="19" t="inlineStr">
        <is>
          <t>RESTful API 设计规范</t>
        </is>
      </c>
      <c r="E71" s="19" t="inlineStr">
        <is>
          <t>未开始</t>
        </is>
      </c>
      <c r="F71" s="19" t="inlineStr">
        <is>
          <t>中</t>
        </is>
      </c>
      <c r="G71" s="19" t="n"/>
      <c r="H71" s="19" t="n"/>
      <c r="I71" s="19" t="n"/>
      <c r="J71" s="19" t="inlineStr"/>
      <c r="K71" s="19" t="inlineStr"/>
    </row>
    <row r="72" ht="16.5" customHeight="1">
      <c r="A72" s="19" t="n">
        <v>69</v>
      </c>
      <c r="B72" s="19" t="inlineStr">
        <is>
          <t>阶段6</t>
        </is>
      </c>
      <c r="C72" s="19" t="inlineStr">
        <is>
          <t>API设计</t>
        </is>
      </c>
      <c r="D72" s="19" t="inlineStr">
        <is>
          <t>SSE 流式响应（LLM 输出）</t>
        </is>
      </c>
      <c r="E72" s="19" t="inlineStr">
        <is>
          <t>未开始</t>
        </is>
      </c>
      <c r="F72" s="19" t="inlineStr">
        <is>
          <t>高</t>
        </is>
      </c>
      <c r="G72" s="19" t="n"/>
      <c r="H72" s="19" t="n"/>
      <c r="I72" s="19" t="n"/>
      <c r="J72" s="19" t="inlineStr"/>
      <c r="K72" s="19" t="inlineStr"/>
    </row>
    <row r="73" ht="16.5" customHeight="1">
      <c r="A73" s="19" t="n">
        <v>70</v>
      </c>
      <c r="B73" s="19" t="inlineStr">
        <is>
          <t>阶段6</t>
        </is>
      </c>
      <c r="C73" s="19" t="inlineStr">
        <is>
          <t>API设计</t>
        </is>
      </c>
      <c r="D73" s="19" t="inlineStr">
        <is>
          <t>WebSocket（双向通信）</t>
        </is>
      </c>
      <c r="E73" s="19" t="inlineStr">
        <is>
          <t>未开始</t>
        </is>
      </c>
      <c r="F73" s="19" t="inlineStr">
        <is>
          <t>中</t>
        </is>
      </c>
      <c r="G73" s="19" t="n"/>
      <c r="H73" s="19" t="n"/>
      <c r="I73" s="19" t="n"/>
      <c r="J73" s="19" t="inlineStr"/>
      <c r="K73" s="19" t="inlineStr"/>
    </row>
    <row r="74" ht="16.5" customHeight="1">
      <c r="A74" s="19" t="n">
        <v>71</v>
      </c>
      <c r="B74" s="19" t="inlineStr">
        <is>
          <t>阶段6</t>
        </is>
      </c>
      <c r="C74" s="19" t="inlineStr">
        <is>
          <t>前端</t>
        </is>
      </c>
      <c r="D74" s="19" t="inlineStr">
        <is>
          <t>Streamlit 快速原型</t>
        </is>
      </c>
      <c r="E74" s="19" t="inlineStr">
        <is>
          <t>未开始</t>
        </is>
      </c>
      <c r="F74" s="19" t="inlineStr">
        <is>
          <t>高</t>
        </is>
      </c>
      <c r="G74" s="19" t="n"/>
      <c r="H74" s="19" t="n"/>
      <c r="I74" s="19" t="n"/>
      <c r="J74" s="19" t="inlineStr"/>
      <c r="K74" s="19" t="inlineStr"/>
    </row>
    <row r="75" ht="16.5" customHeight="1">
      <c r="A75" s="19" t="n">
        <v>72</v>
      </c>
      <c r="B75" s="19" t="inlineStr">
        <is>
          <t>阶段6</t>
        </is>
      </c>
      <c r="C75" s="19" t="inlineStr">
        <is>
          <t>前端</t>
        </is>
      </c>
      <c r="D75" s="19" t="inlineStr">
        <is>
          <t>Gradio 快速原型</t>
        </is>
      </c>
      <c r="E75" s="19" t="inlineStr">
        <is>
          <t>未开始</t>
        </is>
      </c>
      <c r="F75" s="19" t="inlineStr">
        <is>
          <t>中</t>
        </is>
      </c>
      <c r="G75" s="19" t="n"/>
      <c r="H75" s="19" t="n"/>
      <c r="I75" s="19" t="n"/>
      <c r="J75" s="19" t="inlineStr"/>
      <c r="K75" s="19" t="inlineStr"/>
    </row>
    <row r="76" ht="16.5" customHeight="1">
      <c r="A76" s="19" t="n">
        <v>73</v>
      </c>
      <c r="B76" s="19" t="inlineStr">
        <is>
          <t>阶段6</t>
        </is>
      </c>
      <c r="C76" s="19" t="inlineStr">
        <is>
          <t>部署</t>
        </is>
      </c>
      <c r="D76" s="19" t="inlineStr">
        <is>
          <t>Docker 基础（Dockerfile）</t>
        </is>
      </c>
      <c r="E76" s="19" t="inlineStr">
        <is>
          <t>未开始</t>
        </is>
      </c>
      <c r="F76" s="19" t="inlineStr">
        <is>
          <t>高</t>
        </is>
      </c>
      <c r="G76" s="19" t="n"/>
      <c r="H76" s="19" t="n"/>
      <c r="I76" s="19" t="n"/>
      <c r="J76" s="19" t="inlineStr"/>
      <c r="K76" s="19" t="inlineStr"/>
    </row>
    <row r="77" ht="16.5" customHeight="1">
      <c r="A77" s="19" t="n">
        <v>74</v>
      </c>
      <c r="B77" s="19" t="inlineStr">
        <is>
          <t>阶段6</t>
        </is>
      </c>
      <c r="C77" s="19" t="inlineStr">
        <is>
          <t>部署</t>
        </is>
      </c>
      <c r="D77" s="19" t="inlineStr">
        <is>
          <t>Docker Compose 多服务编排</t>
        </is>
      </c>
      <c r="E77" s="19" t="inlineStr">
        <is>
          <t>未开始</t>
        </is>
      </c>
      <c r="F77" s="19" t="inlineStr">
        <is>
          <t>中</t>
        </is>
      </c>
      <c r="G77" s="19" t="n"/>
      <c r="H77" s="19" t="n"/>
      <c r="I77" s="19" t="n"/>
      <c r="J77" s="19" t="inlineStr"/>
      <c r="K77" s="19" t="inlineStr"/>
    </row>
    <row r="78" ht="16.5" customHeight="1">
      <c r="A78" s="19" t="n">
        <v>75</v>
      </c>
      <c r="B78" s="19" t="inlineStr">
        <is>
          <t>阶段6</t>
        </is>
      </c>
      <c r="C78" s="19" t="inlineStr">
        <is>
          <t>部署</t>
        </is>
      </c>
      <c r="D78" s="19" t="inlineStr">
        <is>
          <t>云服务器部署（阿里云/腾讯云）</t>
        </is>
      </c>
      <c r="E78" s="19" t="inlineStr">
        <is>
          <t>未开始</t>
        </is>
      </c>
      <c r="F78" s="19" t="inlineStr">
        <is>
          <t>高</t>
        </is>
      </c>
      <c r="G78" s="19" t="n"/>
      <c r="H78" s="19" t="n"/>
      <c r="I78" s="19" t="n"/>
      <c r="J78" s="19" t="inlineStr"/>
      <c r="K78" s="19" t="inlineStr"/>
    </row>
    <row r="79" ht="16.5" customHeight="1">
      <c r="A79" s="19" t="n">
        <v>76</v>
      </c>
      <c r="B79" s="19" t="inlineStr">
        <is>
          <t>阶段6</t>
        </is>
      </c>
      <c r="C79" s="19" t="inlineStr">
        <is>
          <t>部署</t>
        </is>
      </c>
      <c r="D79" s="19" t="inlineStr">
        <is>
          <t>Serverless（阿里函数计算/腾讯云函数）</t>
        </is>
      </c>
      <c r="E79" s="19" t="inlineStr">
        <is>
          <t>未开始</t>
        </is>
      </c>
      <c r="F79" s="19" t="inlineStr">
        <is>
          <t>中</t>
        </is>
      </c>
      <c r="G79" s="19" t="n"/>
      <c r="H79" s="19" t="n"/>
      <c r="I79" s="19" t="n"/>
      <c r="J79" s="19" t="inlineStr"/>
      <c r="K79" s="19" t="inlineStr"/>
    </row>
    <row r="80" ht="16.5" customHeight="1">
      <c r="A80" s="19" t="n">
        <v>77</v>
      </c>
      <c r="B80" s="19" t="inlineStr">
        <is>
          <t>阶段6</t>
        </is>
      </c>
      <c r="C80" s="19" t="inlineStr">
        <is>
          <t>部署</t>
        </is>
      </c>
      <c r="D80" s="19" t="inlineStr">
        <is>
          <t>Nginx 反向代理</t>
        </is>
      </c>
      <c r="E80" s="19" t="inlineStr">
        <is>
          <t>未开始</t>
        </is>
      </c>
      <c r="F80" s="19" t="inlineStr">
        <is>
          <t>中</t>
        </is>
      </c>
      <c r="G80" s="19" t="n"/>
      <c r="H80" s="19" t="n"/>
      <c r="I80" s="19" t="n"/>
      <c r="J80" s="19" t="inlineStr"/>
      <c r="K80" s="19" t="inlineStr"/>
    </row>
    <row r="81" ht="16.5" customHeight="1">
      <c r="A81" s="19" t="n">
        <v>78</v>
      </c>
      <c r="B81" s="19" t="inlineStr">
        <is>
          <t>阶段6</t>
        </is>
      </c>
      <c r="C81" s="19" t="inlineStr">
        <is>
          <t>测试</t>
        </is>
      </c>
      <c r="D81" s="19" t="inlineStr">
        <is>
          <t>pytest + httpx 测试 API</t>
        </is>
      </c>
      <c r="E81" s="19" t="inlineStr">
        <is>
          <t>未开始</t>
        </is>
      </c>
      <c r="F81" s="19" t="inlineStr">
        <is>
          <t>中</t>
        </is>
      </c>
      <c r="G81" s="19" t="n"/>
      <c r="H81" s="19" t="n"/>
      <c r="I81" s="19" t="n"/>
      <c r="J81" s="19" t="inlineStr"/>
      <c r="K81" s="19" t="inlineStr"/>
    </row>
    <row r="82" ht="16.5" customHeight="1">
      <c r="A82" s="19" t="n">
        <v>79</v>
      </c>
      <c r="B82" s="19" t="inlineStr">
        <is>
          <t>阶段6</t>
        </is>
      </c>
      <c r="C82" s="19" t="inlineStr">
        <is>
          <t>日志监控</t>
        </is>
      </c>
      <c r="D82" s="19" t="inlineStr">
        <is>
          <t>loguru 日志库</t>
        </is>
      </c>
      <c r="E82" s="19" t="inlineStr">
        <is>
          <t>未开始</t>
        </is>
      </c>
      <c r="F82" s="19" t="inlineStr">
        <is>
          <t>中</t>
        </is>
      </c>
      <c r="G82" s="19" t="n"/>
      <c r="H82" s="19" t="n"/>
      <c r="I82" s="19" t="n"/>
      <c r="J82" s="19" t="inlineStr"/>
      <c r="K82" s="19" t="inlineStr"/>
    </row>
    <row r="83" ht="16.5" customHeight="1">
      <c r="A83" s="19" t="n">
        <v>80</v>
      </c>
      <c r="B83" s="19" t="inlineStr">
        <is>
          <t>阶段6</t>
        </is>
      </c>
      <c r="C83" s="19" t="inlineStr">
        <is>
          <t>日志监控</t>
        </is>
      </c>
      <c r="D83" s="19" t="inlineStr">
        <is>
          <t>Sentry 异常监控</t>
        </is>
      </c>
      <c r="E83" s="19" t="inlineStr">
        <is>
          <t>未开始</t>
        </is>
      </c>
      <c r="F83" s="19" t="inlineStr">
        <is>
          <t>低</t>
        </is>
      </c>
      <c r="G83" s="19" t="n"/>
      <c r="H83" s="19" t="n"/>
      <c r="I83" s="19" t="n"/>
      <c r="J83" s="19" t="inlineStr"/>
      <c r="K83" s="19" t="inlineStr"/>
    </row>
    <row r="84" ht="16.5" customHeight="1">
      <c r="A84" s="19" t="n">
        <v>81</v>
      </c>
      <c r="B84" s="19" t="inlineStr">
        <is>
          <t>阶段6</t>
        </is>
      </c>
      <c r="C84" s="19" t="inlineStr">
        <is>
          <t>异步编程</t>
        </is>
      </c>
      <c r="D84" s="19" t="inlineStr">
        <is>
          <t>asyncio 协程</t>
        </is>
      </c>
      <c r="E84" s="19" t="inlineStr">
        <is>
          <t>未开始</t>
        </is>
      </c>
      <c r="F84" s="19" t="inlineStr">
        <is>
          <t>高</t>
        </is>
      </c>
      <c r="G84" s="19" t="n"/>
      <c r="H84" s="19" t="n"/>
      <c r="I84" s="19" t="n"/>
      <c r="J84" s="19" t="inlineStr"/>
      <c r="K84" s="19" t="inlineStr"/>
    </row>
    <row r="85" ht="16.5" customHeight="1">
      <c r="A85" s="19" t="n">
        <v>82</v>
      </c>
      <c r="B85" s="19" t="inlineStr">
        <is>
          <t>阶段6</t>
        </is>
      </c>
      <c r="C85" s="19" t="inlineStr">
        <is>
          <t>异步编程</t>
        </is>
      </c>
      <c r="D85" s="19" t="inlineStr">
        <is>
          <t>aiohttp 异步 HTTP</t>
        </is>
      </c>
      <c r="E85" s="19" t="inlineStr">
        <is>
          <t>未开始</t>
        </is>
      </c>
      <c r="F85" s="19" t="inlineStr">
        <is>
          <t>中</t>
        </is>
      </c>
      <c r="G85" s="19" t="n"/>
      <c r="H85" s="19" t="n"/>
      <c r="I85" s="19" t="n"/>
      <c r="J85" s="19" t="inlineStr"/>
      <c r="K85" s="19" t="inlineStr"/>
    </row>
    <row r="86" ht="16.5" customHeight="1">
      <c r="A86" s="20" t="n">
        <v>83</v>
      </c>
      <c r="B86" s="20" t="inlineStr">
        <is>
          <t>阶段7</t>
        </is>
      </c>
      <c r="C86" s="20" t="inlineStr">
        <is>
          <t>ML基础</t>
        </is>
      </c>
      <c r="D86" s="20" t="inlineStr">
        <is>
          <t>监督学习 vs 无监督学习</t>
        </is>
      </c>
      <c r="E86" s="20" t="inlineStr">
        <is>
          <t>未开始</t>
        </is>
      </c>
      <c r="F86" s="20" t="inlineStr">
        <is>
          <t>高</t>
        </is>
      </c>
      <c r="G86" s="20" t="n"/>
      <c r="H86" s="20" t="n"/>
      <c r="I86" s="20" t="n"/>
      <c r="J86" s="20" t="inlineStr"/>
      <c r="K86" s="20" t="inlineStr">
        <is>
          <t>美图/众诚则加分</t>
        </is>
      </c>
    </row>
    <row r="87" ht="16.5" customHeight="1">
      <c r="A87" s="20" t="n">
        <v>84</v>
      </c>
      <c r="B87" s="20" t="inlineStr">
        <is>
          <t>阶段7</t>
        </is>
      </c>
      <c r="C87" s="20" t="inlineStr">
        <is>
          <t>ML基础</t>
        </is>
      </c>
      <c r="D87" s="20" t="inlineStr">
        <is>
          <t>决策树/随机森林原理</t>
        </is>
      </c>
      <c r="E87" s="20" t="inlineStr">
        <is>
          <t>未开始</t>
        </is>
      </c>
      <c r="F87" s="20" t="inlineStr">
        <is>
          <t>中</t>
        </is>
      </c>
      <c r="G87" s="20" t="n"/>
      <c r="H87" s="20" t="n"/>
      <c r="I87" s="20" t="n"/>
      <c r="J87" s="20" t="inlineStr"/>
      <c r="K87" s="20" t="inlineStr"/>
    </row>
    <row r="88" ht="16.5" customHeight="1">
      <c r="A88" s="20" t="n">
        <v>85</v>
      </c>
      <c r="B88" s="20" t="inlineStr">
        <is>
          <t>阶段7</t>
        </is>
      </c>
      <c r="C88" s="20" t="inlineStr">
        <is>
          <t>ML基础</t>
        </is>
      </c>
      <c r="D88" s="20" t="inlineStr">
        <is>
          <t>SVM/逻辑回归原理</t>
        </is>
      </c>
      <c r="E88" s="20" t="inlineStr">
        <is>
          <t>未开始</t>
        </is>
      </c>
      <c r="F88" s="20" t="inlineStr">
        <is>
          <t>中</t>
        </is>
      </c>
      <c r="G88" s="20" t="n"/>
      <c r="H88" s="20" t="n"/>
      <c r="I88" s="20" t="n"/>
      <c r="J88" s="20" t="inlineStr"/>
      <c r="K88" s="20" t="inlineStr"/>
    </row>
    <row r="89" ht="16.5" customHeight="1">
      <c r="A89" s="20" t="n">
        <v>86</v>
      </c>
      <c r="B89" s="20" t="inlineStr">
        <is>
          <t>阶段7</t>
        </is>
      </c>
      <c r="C89" s="20" t="inlineStr">
        <is>
          <t>ML基础</t>
        </is>
      </c>
      <c r="D89" s="20" t="inlineStr">
        <is>
          <t>K-Means 聚类</t>
        </is>
      </c>
      <c r="E89" s="20" t="inlineStr">
        <is>
          <t>未开始</t>
        </is>
      </c>
      <c r="F89" s="20" t="inlineStr">
        <is>
          <t>中</t>
        </is>
      </c>
      <c r="G89" s="20" t="n"/>
      <c r="H89" s="20" t="n"/>
      <c r="I89" s="20" t="n"/>
      <c r="J89" s="20" t="inlineStr"/>
      <c r="K89" s="20" t="inlineStr"/>
    </row>
    <row r="90" ht="16.5" customHeight="1">
      <c r="A90" s="20" t="n">
        <v>87</v>
      </c>
      <c r="B90" s="20" t="inlineStr">
        <is>
          <t>阶段7</t>
        </is>
      </c>
      <c r="C90" s="20" t="inlineStr">
        <is>
          <t>ML基础</t>
        </is>
      </c>
      <c r="D90" s="20" t="inlineStr">
        <is>
          <t>sklearn 实战（分类/回归）</t>
        </is>
      </c>
      <c r="E90" s="20" t="inlineStr">
        <is>
          <t>未开始</t>
        </is>
      </c>
      <c r="F90" s="20" t="inlineStr">
        <is>
          <t>高</t>
        </is>
      </c>
      <c r="G90" s="20" t="n"/>
      <c r="H90" s="20" t="n"/>
      <c r="I90" s="20" t="n"/>
      <c r="J90" s="20" t="inlineStr"/>
      <c r="K90" s="20" t="inlineStr"/>
    </row>
    <row r="91" ht="16.5" customHeight="1">
      <c r="A91" s="20" t="n">
        <v>88</v>
      </c>
      <c r="B91" s="20" t="inlineStr">
        <is>
          <t>阶段7</t>
        </is>
      </c>
      <c r="C91" s="20" t="inlineStr">
        <is>
          <t>ML基础</t>
        </is>
      </c>
      <c r="D91" s="20" t="inlineStr">
        <is>
          <t>模型评估指标（准确率/F1/AUC）</t>
        </is>
      </c>
      <c r="E91" s="20" t="inlineStr">
        <is>
          <t>未开始</t>
        </is>
      </c>
      <c r="F91" s="20" t="inlineStr">
        <is>
          <t>中</t>
        </is>
      </c>
      <c r="G91" s="20" t="n"/>
      <c r="H91" s="20" t="n"/>
      <c r="I91" s="20" t="n"/>
      <c r="J91" s="20" t="inlineStr"/>
      <c r="K91" s="20" t="inlineStr"/>
    </row>
    <row r="92" ht="16.5" customHeight="1">
      <c r="A92" s="20" t="n">
        <v>89</v>
      </c>
      <c r="B92" s="20" t="inlineStr">
        <is>
          <t>阶段7</t>
        </is>
      </c>
      <c r="C92" s="20" t="inlineStr">
        <is>
          <t>深度学习</t>
        </is>
      </c>
      <c r="D92" s="20" t="inlineStr">
        <is>
          <t>PyTorch 基础（张量/自动求导）</t>
        </is>
      </c>
      <c r="E92" s="20" t="inlineStr">
        <is>
          <t>未开始</t>
        </is>
      </c>
      <c r="F92" s="20" t="inlineStr">
        <is>
          <t>中</t>
        </is>
      </c>
      <c r="G92" s="20" t="n"/>
      <c r="H92" s="20" t="n"/>
      <c r="I92" s="20" t="n"/>
      <c r="J92" s="20" t="inlineStr"/>
      <c r="K92" s="20" t="inlineStr"/>
    </row>
    <row r="93" ht="16.5" customHeight="1">
      <c r="A93" s="20" t="n">
        <v>90</v>
      </c>
      <c r="B93" s="20" t="inlineStr">
        <is>
          <t>阶段7</t>
        </is>
      </c>
      <c r="C93" s="20" t="inlineStr">
        <is>
          <t>深度学习</t>
        </is>
      </c>
      <c r="D93" s="20" t="inlineStr">
        <is>
          <t>HuggingFace Transformers 入门</t>
        </is>
      </c>
      <c r="E93" s="20" t="inlineStr">
        <is>
          <t>未开始</t>
        </is>
      </c>
      <c r="F93" s="20" t="inlineStr">
        <is>
          <t>中</t>
        </is>
      </c>
      <c r="G93" s="20" t="n"/>
      <c r="H93" s="20" t="n"/>
      <c r="I93" s="20" t="n"/>
      <c r="J93" s="20" t="inlineStr"/>
      <c r="K93" s="20" t="inlineStr"/>
    </row>
    <row r="94" ht="16.5" customHeight="1">
      <c r="A94" s="20" t="n">
        <v>91</v>
      </c>
      <c r="B94" s="20" t="inlineStr">
        <is>
          <t>阶段7</t>
        </is>
      </c>
      <c r="C94" s="20" t="inlineStr">
        <is>
          <t>大数据</t>
        </is>
      </c>
      <c r="D94" s="20" t="inlineStr">
        <is>
          <t>Hadoop 基础（HDFS/MapReduce）</t>
        </is>
      </c>
      <c r="E94" s="20" t="inlineStr">
        <is>
          <t>未开始</t>
        </is>
      </c>
      <c r="F94" s="20" t="inlineStr">
        <is>
          <t>低</t>
        </is>
      </c>
      <c r="G94" s="20" t="n"/>
      <c r="H94" s="20" t="n"/>
      <c r="I94" s="20" t="n"/>
      <c r="J94" s="20" t="inlineStr"/>
      <c r="K94" s="20" t="inlineStr"/>
    </row>
    <row r="95" ht="16.5" customHeight="1">
      <c r="A95" s="20" t="n">
        <v>92</v>
      </c>
      <c r="B95" s="20" t="inlineStr">
        <is>
          <t>阶段7</t>
        </is>
      </c>
      <c r="C95" s="20" t="inlineStr">
        <is>
          <t>大数据</t>
        </is>
      </c>
      <c r="D95" s="20" t="inlineStr">
        <is>
          <t>Spark 基础（PySpark RDD/DataFrame）</t>
        </is>
      </c>
      <c r="E95" s="20" t="inlineStr">
        <is>
          <t>未开始</t>
        </is>
      </c>
      <c r="F95" s="20" t="inlineStr">
        <is>
          <t>中</t>
        </is>
      </c>
      <c r="G95" s="20" t="n"/>
      <c r="H95" s="20" t="n"/>
      <c r="I95" s="20" t="n"/>
      <c r="J95" s="20" t="inlineStr"/>
      <c r="K95" s="20" t="inlineStr"/>
    </row>
    <row r="96" ht="16.5" customHeight="1">
      <c r="A96" s="20" t="n">
        <v>93</v>
      </c>
      <c r="B96" s="20" t="inlineStr">
        <is>
          <t>阶段7</t>
        </is>
      </c>
      <c r="C96" s="20" t="inlineStr">
        <is>
          <t>数据库</t>
        </is>
      </c>
      <c r="D96" s="20" t="inlineStr">
        <is>
          <t>MySQL 基础（CRUD/索引）</t>
        </is>
      </c>
      <c r="E96" s="20" t="inlineStr">
        <is>
          <t>未开始</t>
        </is>
      </c>
      <c r="F96" s="20" t="inlineStr">
        <is>
          <t>高</t>
        </is>
      </c>
      <c r="G96" s="20" t="n"/>
      <c r="H96" s="20" t="n"/>
      <c r="I96" s="20" t="n"/>
      <c r="J96" s="20" t="inlineStr"/>
      <c r="K96" s="20" t="inlineStr"/>
    </row>
    <row r="97" ht="16.5" customHeight="1">
      <c r="A97" s="20" t="n">
        <v>94</v>
      </c>
      <c r="B97" s="20" t="inlineStr">
        <is>
          <t>阶段7</t>
        </is>
      </c>
      <c r="C97" s="20" t="inlineStr">
        <is>
          <t>数据库</t>
        </is>
      </c>
      <c r="D97" s="20" t="inlineStr">
        <is>
          <t>Redis 基础（缓存/会话）</t>
        </is>
      </c>
      <c r="E97" s="20" t="inlineStr">
        <is>
          <t>未开始</t>
        </is>
      </c>
      <c r="F97" s="20" t="inlineStr">
        <is>
          <t>中</t>
        </is>
      </c>
      <c r="G97" s="20" t="n"/>
      <c r="H97" s="20" t="n"/>
      <c r="I97" s="20" t="n"/>
      <c r="J97" s="20" t="inlineStr"/>
      <c r="K97" s="20" t="inlineStr"/>
    </row>
    <row r="98" ht="16.5" customHeight="1">
      <c r="A98" s="20" t="n">
        <v>95</v>
      </c>
      <c r="B98" s="20" t="inlineStr">
        <is>
          <t>阶段7</t>
        </is>
      </c>
      <c r="C98" s="20" t="inlineStr">
        <is>
          <t>数据库</t>
        </is>
      </c>
      <c r="D98" s="20" t="inlineStr">
        <is>
          <t>MongoDB 基础（文档型）</t>
        </is>
      </c>
      <c r="E98" s="20" t="inlineStr">
        <is>
          <t>未开始</t>
        </is>
      </c>
      <c r="F98" s="20" t="inlineStr">
        <is>
          <t>低</t>
        </is>
      </c>
      <c r="G98" s="20" t="n"/>
      <c r="H98" s="20" t="n"/>
      <c r="I98" s="20" t="n"/>
      <c r="J98" s="20" t="inlineStr"/>
      <c r="K98" s="20" t="inlineStr"/>
    </row>
    <row r="99" ht="16.5" customHeight="1">
      <c r="A99" s="21" t="n">
        <v>96</v>
      </c>
      <c r="B99" s="21" t="inlineStr">
        <is>
          <t>阶段8</t>
        </is>
      </c>
      <c r="C99" s="21" t="inlineStr">
        <is>
          <t>项目1：智能问答助手</t>
        </is>
      </c>
      <c r="D99" s="21" t="inlineStr">
        <is>
          <t>需求分析与方案设计</t>
        </is>
      </c>
      <c r="E99" s="21" t="inlineStr">
        <is>
          <t>未开始</t>
        </is>
      </c>
      <c r="F99" s="21" t="inlineStr">
        <is>
          <t>高</t>
        </is>
      </c>
      <c r="G99" s="21" t="n"/>
      <c r="H99" s="21" t="n"/>
      <c r="I99" s="21" t="n"/>
      <c r="J99" s="21" t="inlineStr"/>
      <c r="K99" s="21" t="inlineStr"/>
    </row>
    <row r="100" ht="16.5" customHeight="1">
      <c r="A100" s="21" t="n">
        <v>97</v>
      </c>
      <c r="B100" s="21" t="inlineStr">
        <is>
          <t>阶段8</t>
        </is>
      </c>
      <c r="C100" s="21" t="inlineStr">
        <is>
          <t>项目1：智能问答助手</t>
        </is>
      </c>
      <c r="D100" s="21" t="inlineStr">
        <is>
          <t>文档处理（多格式加载+切分）</t>
        </is>
      </c>
      <c r="E100" s="21" t="inlineStr">
        <is>
          <t>未开始</t>
        </is>
      </c>
      <c r="F100" s="21" t="inlineStr">
        <is>
          <t>高</t>
        </is>
      </c>
      <c r="G100" s="21" t="n"/>
      <c r="H100" s="21" t="n"/>
      <c r="I100" s="21" t="n"/>
      <c r="J100" s="21" t="inlineStr"/>
      <c r="K100" s="21" t="inlineStr"/>
    </row>
    <row r="101" ht="16.5" customHeight="1">
      <c r="A101" s="21" t="n">
        <v>98</v>
      </c>
      <c r="B101" s="21" t="inlineStr">
        <is>
          <t>阶段8</t>
        </is>
      </c>
      <c r="C101" s="21" t="inlineStr">
        <is>
          <t>项目1：智能问答助手</t>
        </is>
      </c>
      <c r="D101" s="21" t="inlineStr">
        <is>
          <t>检索增强（rerank + 引用）</t>
        </is>
      </c>
      <c r="E101" s="21" t="inlineStr">
        <is>
          <t>未开始</t>
        </is>
      </c>
      <c r="F101" s="21" t="inlineStr">
        <is>
          <t>高</t>
        </is>
      </c>
      <c r="G101" s="21" t="n"/>
      <c r="H101" s="21" t="n"/>
      <c r="I101" s="21" t="n"/>
      <c r="J101" s="21" t="inlineStr"/>
      <c r="K101" s="21" t="inlineStr"/>
    </row>
    <row r="102" ht="16.5" customHeight="1">
      <c r="A102" s="21" t="n">
        <v>99</v>
      </c>
      <c r="B102" s="21" t="inlineStr">
        <is>
          <t>阶段8</t>
        </is>
      </c>
      <c r="C102" s="21" t="inlineStr">
        <is>
          <t>项目1：智能问答助手</t>
        </is>
      </c>
      <c r="D102" s="21" t="inlineStr">
        <is>
          <t>对话记忆与多轮上下文</t>
        </is>
      </c>
      <c r="E102" s="21" t="inlineStr">
        <is>
          <t>未开始</t>
        </is>
      </c>
      <c r="F102" s="21" t="inlineStr">
        <is>
          <t>高</t>
        </is>
      </c>
      <c r="G102" s="21" t="n"/>
      <c r="H102" s="21" t="n"/>
      <c r="I102" s="21" t="n"/>
      <c r="J102" s="21" t="inlineStr"/>
      <c r="K102" s="21" t="inlineStr"/>
    </row>
    <row r="103" ht="16.5" customHeight="1">
      <c r="A103" s="21" t="n">
        <v>100</v>
      </c>
      <c r="B103" s="21" t="inlineStr">
        <is>
          <t>阶段8</t>
        </is>
      </c>
      <c r="C103" s="21" t="inlineStr">
        <is>
          <t>项目1：智能问答助手</t>
        </is>
      </c>
      <c r="D103" s="21" t="inlineStr">
        <is>
          <t>FastAPI 暴露接口</t>
        </is>
      </c>
      <c r="E103" s="21" t="inlineStr">
        <is>
          <t>未开始</t>
        </is>
      </c>
      <c r="F103" s="21" t="inlineStr">
        <is>
          <t>高</t>
        </is>
      </c>
      <c r="G103" s="21" t="n"/>
      <c r="H103" s="21" t="n"/>
      <c r="I103" s="21" t="n"/>
      <c r="J103" s="21" t="inlineStr"/>
      <c r="K103" s="21" t="inlineStr"/>
    </row>
    <row r="104" ht="16.5" customHeight="1">
      <c r="A104" s="21" t="n">
        <v>101</v>
      </c>
      <c r="B104" s="21" t="inlineStr">
        <is>
          <t>阶段8</t>
        </is>
      </c>
      <c r="C104" s="21" t="inlineStr">
        <is>
          <t>项目1：智能问答助手</t>
        </is>
      </c>
      <c r="D104" s="21" t="inlineStr">
        <is>
          <t>Streamlit 前端页面</t>
        </is>
      </c>
      <c r="E104" s="21" t="inlineStr">
        <is>
          <t>未开始</t>
        </is>
      </c>
      <c r="F104" s="21" t="inlineStr">
        <is>
          <t>中</t>
        </is>
      </c>
      <c r="G104" s="21" t="n"/>
      <c r="H104" s="21" t="n"/>
      <c r="I104" s="21" t="n"/>
      <c r="J104" s="21" t="inlineStr"/>
      <c r="K104" s="21" t="inlineStr"/>
    </row>
    <row r="105" ht="16.5" customHeight="1">
      <c r="A105" s="21" t="n">
        <v>102</v>
      </c>
      <c r="B105" s="21" t="inlineStr">
        <is>
          <t>阶段8</t>
        </is>
      </c>
      <c r="C105" s="21" t="inlineStr">
        <is>
          <t>项目1：智能问答助手</t>
        </is>
      </c>
      <c r="D105" s="21" t="inlineStr">
        <is>
          <t>Docker 部署到云服务器</t>
        </is>
      </c>
      <c r="E105" s="21" t="inlineStr">
        <is>
          <t>未开始</t>
        </is>
      </c>
      <c r="F105" s="21" t="inlineStr">
        <is>
          <t>中</t>
        </is>
      </c>
      <c r="G105" s="21" t="n"/>
      <c r="H105" s="21" t="n"/>
      <c r="I105" s="21" t="n"/>
      <c r="J105" s="21" t="inlineStr"/>
      <c r="K105" s="21" t="inlineStr"/>
    </row>
    <row r="106" ht="16.5" customHeight="1">
      <c r="A106" s="21" t="n">
        <v>103</v>
      </c>
      <c r="B106" s="21" t="inlineStr">
        <is>
          <t>阶段8</t>
        </is>
      </c>
      <c r="C106" s="21" t="inlineStr">
        <is>
          <t>项目2：多工具Agent</t>
        </is>
      </c>
      <c r="D106" s="21" t="inlineStr">
        <is>
          <t>需求分析（智能客服/办公助手）</t>
        </is>
      </c>
      <c r="E106" s="21" t="inlineStr">
        <is>
          <t>未开始</t>
        </is>
      </c>
      <c r="F106" s="21" t="inlineStr">
        <is>
          <t>高</t>
        </is>
      </c>
      <c r="G106" s="21" t="n"/>
      <c r="H106" s="21" t="n"/>
      <c r="I106" s="21" t="n"/>
      <c r="J106" s="21" t="inlineStr"/>
      <c r="K106" s="21" t="inlineStr"/>
    </row>
    <row r="107" ht="16.5" customHeight="1">
      <c r="A107" s="21" t="n">
        <v>104</v>
      </c>
      <c r="B107" s="21" t="inlineStr">
        <is>
          <t>阶段8</t>
        </is>
      </c>
      <c r="C107" s="21" t="inlineStr">
        <is>
          <t>项目2：多工具Agent</t>
        </is>
      </c>
      <c r="D107" s="21" t="inlineStr">
        <is>
          <t>工具库设计（搜索/计算/数据库）</t>
        </is>
      </c>
      <c r="E107" s="21" t="inlineStr">
        <is>
          <t>未开始</t>
        </is>
      </c>
      <c r="F107" s="21" t="inlineStr">
        <is>
          <t>高</t>
        </is>
      </c>
      <c r="G107" s="21" t="n"/>
      <c r="H107" s="21" t="n"/>
      <c r="I107" s="21" t="n"/>
      <c r="J107" s="21" t="inlineStr"/>
      <c r="K107" s="21" t="inlineStr"/>
    </row>
    <row r="108" ht="16.5" customHeight="1">
      <c r="A108" s="21" t="n">
        <v>105</v>
      </c>
      <c r="B108" s="21" t="inlineStr">
        <is>
          <t>阶段8</t>
        </is>
      </c>
      <c r="C108" s="21" t="inlineStr">
        <is>
          <t>项目2：多工具Agent</t>
        </is>
      </c>
      <c r="D108" s="21" t="inlineStr">
        <is>
          <t>Agent 决策逻辑调优</t>
        </is>
      </c>
      <c r="E108" s="21" t="inlineStr">
        <is>
          <t>未开始</t>
        </is>
      </c>
      <c r="F108" s="21" t="inlineStr">
        <is>
          <t>高</t>
        </is>
      </c>
      <c r="G108" s="21" t="n"/>
      <c r="H108" s="21" t="n"/>
      <c r="I108" s="21" t="n"/>
      <c r="J108" s="21" t="inlineStr"/>
      <c r="K108" s="21" t="inlineStr"/>
    </row>
    <row r="109" ht="16.5" customHeight="1">
      <c r="A109" s="21" t="n">
        <v>106</v>
      </c>
      <c r="B109" s="21" t="inlineStr">
        <is>
          <t>阶段8</t>
        </is>
      </c>
      <c r="C109" s="21" t="inlineStr">
        <is>
          <t>项目2：多工具Agent</t>
        </is>
      </c>
      <c r="D109" s="21" t="inlineStr">
        <is>
          <t>工具错误恢复机制</t>
        </is>
      </c>
      <c r="E109" s="21" t="inlineStr">
        <is>
          <t>未开始</t>
        </is>
      </c>
      <c r="F109" s="21" t="inlineStr">
        <is>
          <t>中</t>
        </is>
      </c>
      <c r="G109" s="21" t="n"/>
      <c r="H109" s="21" t="n"/>
      <c r="I109" s="21" t="n"/>
      <c r="J109" s="21" t="inlineStr"/>
      <c r="K109" s="21" t="inlineStr"/>
    </row>
    <row r="110" ht="16.5" customHeight="1">
      <c r="A110" s="21" t="n">
        <v>107</v>
      </c>
      <c r="B110" s="21" t="inlineStr">
        <is>
          <t>阶段8</t>
        </is>
      </c>
      <c r="C110" s="21" t="inlineStr">
        <is>
          <t>项目2：多工具Agent</t>
        </is>
      </c>
      <c r="D110" s="21" t="inlineStr">
        <is>
          <t>LangSmith 评估体系</t>
        </is>
      </c>
      <c r="E110" s="21" t="inlineStr">
        <is>
          <t>未开始</t>
        </is>
      </c>
      <c r="F110" s="21" t="inlineStr">
        <is>
          <t>中</t>
        </is>
      </c>
      <c r="G110" s="21" t="n"/>
      <c r="H110" s="21" t="n"/>
      <c r="I110" s="21" t="n"/>
      <c r="J110" s="21" t="inlineStr"/>
      <c r="K110" s="21" t="inlineStr"/>
    </row>
    <row r="111" ht="16.5" customHeight="1">
      <c r="A111" s="21" t="n">
        <v>108</v>
      </c>
      <c r="B111" s="21" t="inlineStr">
        <is>
          <t>阶段8</t>
        </is>
      </c>
      <c r="C111" s="21" t="inlineStr">
        <is>
          <t>项目3：工作流自动化</t>
        </is>
      </c>
      <c r="D111" s="21" t="inlineStr">
        <is>
          <t>LangGraph 多步骤工作流</t>
        </is>
      </c>
      <c r="E111" s="21" t="inlineStr">
        <is>
          <t>未开始</t>
        </is>
      </c>
      <c r="F111" s="21" t="inlineStr">
        <is>
          <t>中</t>
        </is>
      </c>
      <c r="G111" s="21" t="n"/>
      <c r="H111" s="21" t="n"/>
      <c r="I111" s="21" t="n"/>
      <c r="J111" s="21" t="inlineStr"/>
      <c r="K111" s="21" t="inlineStr"/>
    </row>
    <row r="112" ht="16.5" customHeight="1">
      <c r="A112" s="21" t="n">
        <v>109</v>
      </c>
      <c r="B112" s="21" t="inlineStr">
        <is>
          <t>阶段8</t>
        </is>
      </c>
      <c r="C112" s="21" t="inlineStr">
        <is>
          <t>项目3：工作流自动化</t>
        </is>
      </c>
      <c r="D112" s="21" t="inlineStr">
        <is>
          <t>人机协作审批节点</t>
        </is>
      </c>
      <c r="E112" s="21" t="inlineStr">
        <is>
          <t>未开始</t>
        </is>
      </c>
      <c r="F112" s="21" t="inlineStr">
        <is>
          <t>中</t>
        </is>
      </c>
      <c r="G112" s="21" t="n"/>
      <c r="H112" s="21" t="n"/>
      <c r="I112" s="21" t="n"/>
      <c r="J112" s="21" t="inlineStr"/>
      <c r="K112" s="21" t="inlineStr"/>
    </row>
    <row r="113" ht="16.5" customHeight="1">
      <c r="A113" s="21" t="n">
        <v>110</v>
      </c>
      <c r="B113" s="21" t="inlineStr">
        <is>
          <t>阶段8</t>
        </is>
      </c>
      <c r="C113" s="21" t="inlineStr">
        <is>
          <t>项目3：工作流自动化</t>
        </is>
      </c>
      <c r="D113" s="21" t="inlineStr">
        <is>
          <t>持久化与断点续跑</t>
        </is>
      </c>
      <c r="E113" s="21" t="inlineStr">
        <is>
          <t>未开始</t>
        </is>
      </c>
      <c r="F113" s="21" t="inlineStr">
        <is>
          <t>中</t>
        </is>
      </c>
      <c r="G113" s="21" t="n"/>
      <c r="H113" s="21" t="n"/>
      <c r="I113" s="21" t="n"/>
      <c r="J113" s="21" t="inlineStr"/>
      <c r="K113" s="21" t="inlineStr"/>
    </row>
    <row r="114" ht="16.5" customHeight="1">
      <c r="A114" s="21" t="n">
        <v>111</v>
      </c>
      <c r="B114" s="21" t="inlineStr">
        <is>
          <t>阶段8</t>
        </is>
      </c>
      <c r="C114" s="21" t="inlineStr">
        <is>
          <t>代码管理</t>
        </is>
      </c>
      <c r="D114" s="21" t="inlineStr">
        <is>
          <t>每个项目独立 GitHub 仓库</t>
        </is>
      </c>
      <c r="E114" s="21" t="inlineStr">
        <is>
          <t>未开始</t>
        </is>
      </c>
      <c r="F114" s="21" t="inlineStr">
        <is>
          <t>高</t>
        </is>
      </c>
      <c r="G114" s="21" t="n"/>
      <c r="H114" s="21" t="n"/>
      <c r="I114" s="21" t="n"/>
      <c r="J114" s="21" t="inlineStr"/>
      <c r="K114" s="21" t="inlineStr"/>
    </row>
    <row r="115" ht="16.5" customHeight="1">
      <c r="A115" s="21" t="n">
        <v>112</v>
      </c>
      <c r="B115" s="21" t="inlineStr">
        <is>
          <t>阶段8</t>
        </is>
      </c>
      <c r="C115" s="21" t="inlineStr">
        <is>
          <t>代码管理</t>
        </is>
      </c>
      <c r="D115" s="21" t="inlineStr">
        <is>
          <t>README + 截图 + 演示视频</t>
        </is>
      </c>
      <c r="E115" s="21" t="inlineStr">
        <is>
          <t>未开始</t>
        </is>
      </c>
      <c r="F115" s="21" t="inlineStr">
        <is>
          <t>高</t>
        </is>
      </c>
      <c r="G115" s="21" t="n"/>
      <c r="H115" s="21" t="n"/>
      <c r="I115" s="21" t="n"/>
      <c r="J115" s="21" t="inlineStr"/>
      <c r="K115" s="21" t="inlineStr"/>
    </row>
    <row r="116" ht="16.5" customHeight="1">
      <c r="A116" s="22" t="n">
        <v>113</v>
      </c>
      <c r="B116" s="22" t="inlineStr">
        <is>
          <t>阶段9</t>
        </is>
      </c>
      <c r="C116" s="22" t="inlineStr">
        <is>
          <t>简历</t>
        </is>
      </c>
      <c r="D116" s="22" t="inlineStr">
        <is>
          <t>梳理技能图谱与项目经历</t>
        </is>
      </c>
      <c r="E116" s="22" t="inlineStr">
        <is>
          <t>未开始</t>
        </is>
      </c>
      <c r="F116" s="22" t="inlineStr">
        <is>
          <t>高</t>
        </is>
      </c>
      <c r="G116" s="22" t="n"/>
      <c r="H116" s="22" t="n"/>
      <c r="I116" s="22" t="n"/>
      <c r="J116" s="22" t="inlineStr"/>
      <c r="K116" s="22" t="inlineStr"/>
    </row>
    <row r="117" ht="16.5" customHeight="1">
      <c r="A117" s="22" t="n">
        <v>114</v>
      </c>
      <c r="B117" s="22" t="inlineStr">
        <is>
          <t>阶段9</t>
        </is>
      </c>
      <c r="C117" s="22" t="inlineStr">
        <is>
          <t>简历</t>
        </is>
      </c>
      <c r="D117" s="22" t="inlineStr">
        <is>
          <t>简历 V1（STAR法则）</t>
        </is>
      </c>
      <c r="E117" s="22" t="inlineStr">
        <is>
          <t>未开始</t>
        </is>
      </c>
      <c r="F117" s="22" t="inlineStr">
        <is>
          <t>高</t>
        </is>
      </c>
      <c r="G117" s="22" t="n"/>
      <c r="H117" s="22" t="n"/>
      <c r="I117" s="22" t="n"/>
      <c r="J117" s="22" t="inlineStr"/>
      <c r="K117" s="22" t="inlineStr"/>
    </row>
    <row r="118" ht="16.5" customHeight="1">
      <c r="A118" s="22" t="n">
        <v>115</v>
      </c>
      <c r="B118" s="22" t="inlineStr">
        <is>
          <t>阶段9</t>
        </is>
      </c>
      <c r="C118" s="22" t="inlineStr">
        <is>
          <t>简历</t>
        </is>
      </c>
      <c r="D118" s="22" t="inlineStr">
        <is>
          <t>针对投递岗位定制简历</t>
        </is>
      </c>
      <c r="E118" s="22" t="inlineStr">
        <is>
          <t>未开始</t>
        </is>
      </c>
      <c r="F118" s="22" t="inlineStr">
        <is>
          <t>高</t>
        </is>
      </c>
      <c r="G118" s="22" t="n"/>
      <c r="H118" s="22" t="n"/>
      <c r="I118" s="22" t="n"/>
      <c r="J118" s="22" t="inlineStr"/>
      <c r="K118" s="22" t="inlineStr"/>
    </row>
    <row r="119" ht="16.5" customHeight="1">
      <c r="A119" s="22" t="n">
        <v>116</v>
      </c>
      <c r="B119" s="22" t="inlineStr">
        <is>
          <t>阶段9</t>
        </is>
      </c>
      <c r="C119" s="22" t="inlineStr">
        <is>
          <t>作品集</t>
        </is>
      </c>
      <c r="D119" s="22" t="inlineStr">
        <is>
          <t>GitHub 个人主页优化（pin 仓库）</t>
        </is>
      </c>
      <c r="E119" s="22" t="inlineStr">
        <is>
          <t>未开始</t>
        </is>
      </c>
      <c r="F119" s="22" t="inlineStr">
        <is>
          <t>高</t>
        </is>
      </c>
      <c r="G119" s="22" t="n"/>
      <c r="H119" s="22" t="n"/>
      <c r="I119" s="22" t="n"/>
      <c r="J119" s="22" t="inlineStr"/>
      <c r="K119" s="22" t="inlineStr"/>
    </row>
    <row r="120" ht="16.5" customHeight="1">
      <c r="A120" s="22" t="n">
        <v>117</v>
      </c>
      <c r="B120" s="22" t="inlineStr">
        <is>
          <t>阶段9</t>
        </is>
      </c>
      <c r="C120" s="22" t="inlineStr">
        <is>
          <t>作品集</t>
        </is>
      </c>
      <c r="D120" s="22" t="inlineStr">
        <is>
          <t>技术博客 5 篇（CSDN/掘金/知乎）</t>
        </is>
      </c>
      <c r="E120" s="22" t="inlineStr">
        <is>
          <t>未开始</t>
        </is>
      </c>
      <c r="F120" s="22" t="inlineStr">
        <is>
          <t>中</t>
        </is>
      </c>
      <c r="G120" s="22" t="n"/>
      <c r="H120" s="22" t="n"/>
      <c r="I120" s="22" t="n"/>
      <c r="J120" s="22" t="inlineStr"/>
      <c r="K120" s="22" t="inlineStr"/>
    </row>
    <row r="121" ht="16.5" customHeight="1">
      <c r="A121" s="22" t="n">
        <v>118</v>
      </c>
      <c r="B121" s="22" t="inlineStr">
        <is>
          <t>阶段9</t>
        </is>
      </c>
      <c r="C121" s="22" t="inlineStr">
        <is>
          <t>面试</t>
        </is>
      </c>
      <c r="D121" s="22" t="inlineStr">
        <is>
          <t>LangChain/LangGraph 八股文</t>
        </is>
      </c>
      <c r="E121" s="22" t="inlineStr">
        <is>
          <t>进行中</t>
        </is>
      </c>
      <c r="F121" s="22" t="inlineStr">
        <is>
          <t>高</t>
        </is>
      </c>
      <c r="G121" s="41" t="n">
        <v>46226</v>
      </c>
      <c r="H121" s="22" t="n"/>
      <c r="I121" s="22" t="n"/>
      <c r="J121" s="22" t="inlineStr"/>
      <c r="K121" s="22" t="inlineStr">
        <is>
          <t>Day10/11 已整理</t>
        </is>
      </c>
    </row>
    <row r="122" ht="16.5" customHeight="1">
      <c r="A122" s="22" t="n">
        <v>119</v>
      </c>
      <c r="B122" s="22" t="inlineStr">
        <is>
          <t>阶段9</t>
        </is>
      </c>
      <c r="C122" s="22" t="inlineStr">
        <is>
          <t>面试</t>
        </is>
      </c>
      <c r="D122" s="22" t="inlineStr">
        <is>
          <t>RAG 工程实践问答</t>
        </is>
      </c>
      <c r="E122" s="22" t="inlineStr">
        <is>
          <t>未开始</t>
        </is>
      </c>
      <c r="F122" s="22" t="inlineStr">
        <is>
          <t>高</t>
        </is>
      </c>
      <c r="G122" s="22" t="n"/>
      <c r="H122" s="22" t="n"/>
      <c r="I122" s="22" t="n"/>
      <c r="J122" s="22" t="inlineStr"/>
      <c r="K122" s="22" t="inlineStr"/>
    </row>
    <row r="123" ht="16.5" customHeight="1">
      <c r="A123" s="22" t="n">
        <v>120</v>
      </c>
      <c r="B123" s="22" t="inlineStr">
        <is>
          <t>阶段9</t>
        </is>
      </c>
      <c r="C123" s="22" t="inlineStr">
        <is>
          <t>面试</t>
        </is>
      </c>
      <c r="D123" s="22" t="inlineStr">
        <is>
          <t>Agent 设计模式问答</t>
        </is>
      </c>
      <c r="E123" s="22" t="inlineStr">
        <is>
          <t>未开始</t>
        </is>
      </c>
      <c r="F123" s="22" t="inlineStr">
        <is>
          <t>高</t>
        </is>
      </c>
      <c r="G123" s="22" t="n"/>
      <c r="H123" s="22" t="n"/>
      <c r="I123" s="22" t="n"/>
      <c r="J123" s="22" t="inlineStr"/>
      <c r="K123" s="22" t="inlineStr"/>
    </row>
    <row r="124" ht="16.5" customHeight="1">
      <c r="A124" s="22" t="n">
        <v>121</v>
      </c>
      <c r="B124" s="22" t="inlineStr">
        <is>
          <t>阶段9</t>
        </is>
      </c>
      <c r="C124" s="22" t="inlineStr">
        <is>
          <t>面试</t>
        </is>
      </c>
      <c r="D124" s="22" t="inlineStr">
        <is>
          <t>Python 基础（数据结构/异步/装饰器）</t>
        </is>
      </c>
      <c r="E124" s="22" t="inlineStr">
        <is>
          <t>未开始</t>
        </is>
      </c>
      <c r="F124" s="22" t="inlineStr">
        <is>
          <t>高</t>
        </is>
      </c>
      <c r="G124" s="22" t="n"/>
      <c r="H124" s="22" t="n"/>
      <c r="I124" s="22" t="n"/>
      <c r="J124" s="22" t="inlineStr"/>
      <c r="K124" s="22" t="inlineStr"/>
    </row>
    <row r="125" ht="16.5" customHeight="1">
      <c r="A125" s="22" t="n">
        <v>122</v>
      </c>
      <c r="B125" s="22" t="inlineStr">
        <is>
          <t>阶段9</t>
        </is>
      </c>
      <c r="C125" s="22" t="inlineStr">
        <is>
          <t>面试</t>
        </is>
      </c>
      <c r="D125" s="22" t="inlineStr">
        <is>
          <t>系统设计题（如：设计 RAG 系统）</t>
        </is>
      </c>
      <c r="E125" s="22" t="inlineStr">
        <is>
          <t>未开始</t>
        </is>
      </c>
      <c r="F125" s="22" t="inlineStr">
        <is>
          <t>中</t>
        </is>
      </c>
      <c r="G125" s="22" t="n"/>
      <c r="H125" s="22" t="n"/>
      <c r="I125" s="22" t="n"/>
      <c r="J125" s="22" t="inlineStr"/>
      <c r="K125" s="22" t="inlineStr"/>
    </row>
    <row r="126" ht="16.5" customHeight="1">
      <c r="A126" s="22" t="n">
        <v>123</v>
      </c>
      <c r="B126" s="22" t="inlineStr">
        <is>
          <t>阶段9</t>
        </is>
      </c>
      <c r="C126" s="22" t="inlineStr">
        <is>
          <t>面试</t>
        </is>
      </c>
      <c r="D126" s="22" t="inlineStr">
        <is>
          <t>模拟面试 3 轮</t>
        </is>
      </c>
      <c r="E126" s="22" t="inlineStr">
        <is>
          <t>未开始</t>
        </is>
      </c>
      <c r="F126" s="22" t="inlineStr">
        <is>
          <t>中</t>
        </is>
      </c>
      <c r="G126" s="22" t="n"/>
      <c r="H126" s="22" t="n"/>
      <c r="I126" s="22" t="n"/>
      <c r="J126" s="22" t="inlineStr"/>
      <c r="K126" s="22" t="inlineStr"/>
    </row>
    <row r="127" ht="16.5" customHeight="1">
      <c r="A127" s="22" t="n">
        <v>124</v>
      </c>
      <c r="B127" s="22" t="inlineStr">
        <is>
          <t>阶段9</t>
        </is>
      </c>
      <c r="C127" s="22" t="inlineStr">
        <is>
          <t>公司调研</t>
        </is>
      </c>
      <c r="D127" s="22" t="inlineStr">
        <is>
          <t>厦门快商通（NLP/AI Agent方向）</t>
        </is>
      </c>
      <c r="E127" s="22" t="inlineStr">
        <is>
          <t>未开始</t>
        </is>
      </c>
      <c r="F127" s="22" t="inlineStr">
        <is>
          <t>高</t>
        </is>
      </c>
      <c r="G127" s="22" t="n"/>
      <c r="H127" s="22" t="n"/>
      <c r="I127" s="22" t="n"/>
      <c r="J127" s="22" t="inlineStr"/>
      <c r="K127" s="22" t="inlineStr"/>
    </row>
    <row r="128" ht="16.5" customHeight="1">
      <c r="A128" s="22" t="n">
        <v>125</v>
      </c>
      <c r="B128" s="22" t="inlineStr">
        <is>
          <t>阶段9</t>
        </is>
      </c>
      <c r="C128" s="22" t="inlineStr">
        <is>
          <t>公司调研</t>
        </is>
      </c>
      <c r="D128" s="22" t="inlineStr">
        <is>
          <t>厦门美图（AI应用方向）</t>
        </is>
      </c>
      <c r="E128" s="22" t="inlineStr">
        <is>
          <t>未开始</t>
        </is>
      </c>
      <c r="F128" s="22" t="inlineStr">
        <is>
          <t>高</t>
        </is>
      </c>
      <c r="G128" s="22" t="n"/>
      <c r="H128" s="22" t="n"/>
      <c r="I128" s="22" t="n"/>
      <c r="J128" s="22" t="inlineStr"/>
      <c r="K128" s="22" t="inlineStr"/>
    </row>
    <row r="129" ht="16.5" customHeight="1">
      <c r="A129" s="22" t="n">
        <v>126</v>
      </c>
      <c r="B129" s="22" t="inlineStr">
        <is>
          <t>阶段9</t>
        </is>
      </c>
      <c r="C129" s="22" t="inlineStr">
        <is>
          <t>公司调研</t>
        </is>
      </c>
      <c r="D129" s="22" t="inlineStr">
        <is>
          <t>厦门众诚则（AI Agent方向）</t>
        </is>
      </c>
      <c r="E129" s="22" t="inlineStr">
        <is>
          <t>未开始</t>
        </is>
      </c>
      <c r="F129" s="22" t="inlineStr">
        <is>
          <t>高</t>
        </is>
      </c>
      <c r="G129" s="22" t="n"/>
      <c r="H129" s="22" t="n"/>
      <c r="I129" s="22" t="n"/>
      <c r="J129" s="22" t="inlineStr"/>
      <c r="K129" s="22" t="inlineStr"/>
    </row>
    <row r="130" ht="16.5" customHeight="1">
      <c r="A130" s="22" t="n">
        <v>127</v>
      </c>
      <c r="B130" s="22" t="inlineStr">
        <is>
          <t>阶段9</t>
        </is>
      </c>
      <c r="C130" s="22" t="inlineStr">
        <is>
          <t>公司调研</t>
        </is>
      </c>
      <c r="D130" s="22" t="inlineStr">
        <is>
          <t>厦门空陆视觉（AI工程师实习）</t>
        </is>
      </c>
      <c r="E130" s="22" t="inlineStr">
        <is>
          <t>未开始</t>
        </is>
      </c>
      <c r="F130" s="22" t="inlineStr">
        <is>
          <t>高</t>
        </is>
      </c>
      <c r="G130" s="22" t="n"/>
      <c r="H130" s="22" t="n"/>
      <c r="I130" s="22" t="n"/>
      <c r="J130" s="22" t="inlineStr"/>
      <c r="K130" s="22" t="inlineStr"/>
    </row>
    <row r="131" ht="16.5" customHeight="1">
      <c r="A131" s="22" t="n">
        <v>128</v>
      </c>
      <c r="B131" s="22" t="inlineStr">
        <is>
          <t>阶段9</t>
        </is>
      </c>
      <c r="C131" s="22" t="inlineStr">
        <is>
          <t>公司调研</t>
        </is>
      </c>
      <c r="D131" s="22" t="inlineStr">
        <is>
          <t>厦门小题科技（AI数据实习）</t>
        </is>
      </c>
      <c r="E131" s="22" t="inlineStr">
        <is>
          <t>未开始</t>
        </is>
      </c>
      <c r="F131" s="22" t="inlineStr">
        <is>
          <t>中</t>
        </is>
      </c>
      <c r="G131" s="22" t="n"/>
      <c r="H131" s="22" t="n"/>
      <c r="I131" s="22" t="n"/>
      <c r="J131" s="22" t="inlineStr"/>
      <c r="K131" s="22" t="inlineStr"/>
    </row>
    <row r="132" ht="16.5" customHeight="1">
      <c r="A132" s="22" t="n">
        <v>129</v>
      </c>
      <c r="B132" s="22" t="inlineStr">
        <is>
          <t>阶段9</t>
        </is>
      </c>
      <c r="C132" s="22" t="inlineStr">
        <is>
          <t>公司调研</t>
        </is>
      </c>
      <c r="D132" s="22" t="inlineStr">
        <is>
          <t>厦门睿云联（Python后端）</t>
        </is>
      </c>
      <c r="E132" s="22" t="inlineStr">
        <is>
          <t>未开始</t>
        </is>
      </c>
      <c r="F132" s="22" t="inlineStr">
        <is>
          <t>中</t>
        </is>
      </c>
      <c r="G132" s="22" t="n"/>
      <c r="H132" s="22" t="n"/>
      <c r="I132" s="22" t="n"/>
      <c r="J132" s="22" t="inlineStr"/>
      <c r="K132" s="22" t="inlineStr"/>
    </row>
    <row r="133" ht="16.5" customHeight="1">
      <c r="A133" s="22" t="n">
        <v>130</v>
      </c>
      <c r="B133" s="22" t="inlineStr">
        <is>
          <t>阶段9</t>
        </is>
      </c>
      <c r="C133" s="22" t="inlineStr">
        <is>
          <t>公司调研</t>
        </is>
      </c>
      <c r="D133" s="22" t="inlineStr">
        <is>
          <t>厦门量子堆栈（Python Django）</t>
        </is>
      </c>
      <c r="E133" s="22" t="inlineStr">
        <is>
          <t>未开始</t>
        </is>
      </c>
      <c r="F133" s="22" t="inlineStr">
        <is>
          <t>中</t>
        </is>
      </c>
      <c r="G133" s="22" t="n"/>
      <c r="H133" s="22" t="n"/>
      <c r="I133" s="22" t="n"/>
      <c r="J133" s="22" t="inlineStr"/>
      <c r="K133" s="22" t="inlineStr"/>
    </row>
    <row r="134" ht="16.5" customHeight="1">
      <c r="A134" s="22" t="n">
        <v>131</v>
      </c>
      <c r="B134" s="22" t="inlineStr">
        <is>
          <t>阶段9</t>
        </is>
      </c>
      <c r="C134" s="22" t="inlineStr">
        <is>
          <t>公司调研</t>
        </is>
      </c>
      <c r="D134" s="22" t="inlineStr">
        <is>
          <t>国投智能·厦门（Python实习）</t>
        </is>
      </c>
      <c r="E134" s="22" t="inlineStr">
        <is>
          <t>未开始</t>
        </is>
      </c>
      <c r="F134" s="22" t="inlineStr">
        <is>
          <t>中</t>
        </is>
      </c>
      <c r="G134" s="22" t="n"/>
      <c r="H134" s="22" t="n"/>
      <c r="I134" s="22" t="n"/>
      <c r="J134" s="22" t="inlineStr"/>
      <c r="K134" s="22" t="inlineStr"/>
    </row>
    <row r="135" ht="16.5" customHeight="1">
      <c r="A135" s="22" t="n">
        <v>132</v>
      </c>
      <c r="B135" s="22" t="inlineStr">
        <is>
          <t>阶段9</t>
        </is>
      </c>
      <c r="C135" s="22" t="inlineStr">
        <is>
          <t>公司调研</t>
        </is>
      </c>
      <c r="D135" s="22" t="inlineStr">
        <is>
          <t>泉州九牧集团（AI实习）</t>
        </is>
      </c>
      <c r="E135" s="22" t="inlineStr">
        <is>
          <t>未开始</t>
        </is>
      </c>
      <c r="F135" s="22" t="inlineStr">
        <is>
          <t>中</t>
        </is>
      </c>
      <c r="G135" s="22" t="n"/>
      <c r="H135" s="22" t="n"/>
      <c r="I135" s="22" t="n"/>
      <c r="J135" s="22" t="inlineStr"/>
      <c r="K135" s="22" t="inlineStr"/>
    </row>
    <row r="136" ht="16.5" customHeight="1">
      <c r="A136" s="22" t="n">
        <v>133</v>
      </c>
      <c r="B136" s="22" t="inlineStr">
        <is>
          <t>阶段9</t>
        </is>
      </c>
      <c r="C136" s="22" t="inlineStr">
        <is>
          <t>投递</t>
        </is>
      </c>
      <c r="D136" s="22" t="inlineStr">
        <is>
          <t>BOSS直聘账号注册与简历上传</t>
        </is>
      </c>
      <c r="E136" s="22" t="inlineStr">
        <is>
          <t>未开始</t>
        </is>
      </c>
      <c r="F136" s="22" t="inlineStr">
        <is>
          <t>高</t>
        </is>
      </c>
      <c r="G136" s="22" t="n"/>
      <c r="H136" s="22" t="n"/>
      <c r="I136" s="22" t="n"/>
      <c r="J136" s="22" t="inlineStr"/>
      <c r="K136" s="22" t="inlineStr"/>
    </row>
    <row r="137" ht="16.5" customHeight="1">
      <c r="A137" s="22" t="n">
        <v>134</v>
      </c>
      <c r="B137" s="22" t="inlineStr">
        <is>
          <t>阶段9</t>
        </is>
      </c>
      <c r="C137" s="22" t="inlineStr">
        <is>
          <t>投递</t>
        </is>
      </c>
      <c r="D137" s="22" t="inlineStr">
        <is>
          <t>实习僧账号注册与简历上传</t>
        </is>
      </c>
      <c r="E137" s="22" t="inlineStr">
        <is>
          <t>未开始</t>
        </is>
      </c>
      <c r="F137" s="22" t="inlineStr">
        <is>
          <t>高</t>
        </is>
      </c>
      <c r="G137" s="22" t="n"/>
      <c r="H137" s="22" t="n"/>
      <c r="I137" s="22" t="n"/>
      <c r="J137" s="22" t="inlineStr"/>
      <c r="K137" s="22" t="inlineStr"/>
    </row>
    <row r="138" ht="16.5" customHeight="1">
      <c r="A138" s="22" t="n">
        <v>135</v>
      </c>
      <c r="B138" s="22" t="inlineStr">
        <is>
          <t>阶段9</t>
        </is>
      </c>
      <c r="C138" s="22" t="inlineStr">
        <is>
          <t>投递</t>
        </is>
      </c>
      <c r="D138" s="22" t="inlineStr">
        <is>
          <t>每周投递 5 家以上</t>
        </is>
      </c>
      <c r="E138" s="22" t="inlineStr">
        <is>
          <t>未开始</t>
        </is>
      </c>
      <c r="F138" s="22" t="inlineStr">
        <is>
          <t>高</t>
        </is>
      </c>
      <c r="G138" s="22" t="n"/>
      <c r="H138" s="22" t="n"/>
      <c r="I138" s="22" t="n"/>
      <c r="J138" s="22" t="inlineStr"/>
      <c r="K138" s="22" t="inlineStr"/>
    </row>
  </sheetData>
  <conditionalFormatting sqref="E4:E138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"暂停"</formula>
    </cfRule>
  </conditionalFormatting>
  <dataValidations count="2">
    <dataValidation sqref="E4:E138" showDropDown="0" showInputMessage="0" showErrorMessage="0" allowBlank="1" type="list">
      <formula1>"未开始,进行中,已完成,暂停"</formula1>
    </dataValidation>
    <dataValidation sqref="F4:F138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:E1"/>
    </sheetView>
  </sheetViews>
  <sheetFormatPr baseColWidth="8" defaultColWidth="9" defaultRowHeight="13.5"/>
  <cols>
    <col width="8" customWidth="1" min="1" max="1"/>
    <col width="45" customWidth="1" min="2" max="2"/>
    <col width="15" customWidth="1" min="3" max="3"/>
    <col width="10" customWidth="1" min="4" max="4"/>
    <col width="50" customWidth="1" min="5" max="5"/>
  </cols>
  <sheetData>
    <row r="1" ht="21" customHeight="1">
      <c r="A1" s="6" t="inlineStr">
        <is>
          <t>今日打卡（复制下方任务到对应单元格，完成后打勾 ✓）</t>
        </is>
      </c>
    </row>
    <row r="3" ht="15" customHeight="1">
      <c r="A3" s="2" t="inlineStr">
        <is>
          <t>序号</t>
        </is>
      </c>
      <c r="B3" s="2" t="inlineStr">
        <is>
          <t>任务名称</t>
        </is>
      </c>
      <c r="C3" s="2" t="inlineStr">
        <is>
          <t>计划日期</t>
        </is>
      </c>
      <c r="D3" s="2" t="inlineStr">
        <is>
          <t>完成</t>
        </is>
      </c>
      <c r="E3" s="2" t="inlineStr">
        <is>
          <t>今日心得</t>
        </is>
      </c>
    </row>
    <row r="4">
      <c r="A4" t="n">
        <v>1</v>
      </c>
      <c r="D4" t="inlineStr">
        <is>
          <t>☐</t>
        </is>
      </c>
    </row>
    <row r="5">
      <c r="A5" t="n">
        <v>2</v>
      </c>
      <c r="D5" t="inlineStr">
        <is>
          <t>☐</t>
        </is>
      </c>
    </row>
    <row r="6">
      <c r="A6" t="n">
        <v>3</v>
      </c>
      <c r="D6" t="inlineStr">
        <is>
          <t>☐</t>
        </is>
      </c>
    </row>
    <row r="7">
      <c r="A7" t="n">
        <v>4</v>
      </c>
      <c r="D7" t="inlineStr">
        <is>
          <t>☐</t>
        </is>
      </c>
    </row>
    <row r="8">
      <c r="A8" t="n">
        <v>5</v>
      </c>
      <c r="D8" t="inlineStr">
        <is>
          <t>☐</t>
        </is>
      </c>
    </row>
    <row r="9">
      <c r="A9" t="n">
        <v>6</v>
      </c>
      <c r="D9" t="inlineStr">
        <is>
          <t>☐</t>
        </is>
      </c>
    </row>
    <row r="10">
      <c r="A10" t="n">
        <v>7</v>
      </c>
      <c r="D10" t="inlineStr">
        <is>
          <t>☐</t>
        </is>
      </c>
    </row>
    <row r="11">
      <c r="A11" t="n">
        <v>8</v>
      </c>
      <c r="D11" t="inlineStr">
        <is>
          <t>☐</t>
        </is>
      </c>
    </row>
    <row r="12">
      <c r="A12" t="n">
        <v>9</v>
      </c>
      <c r="D12" t="inlineStr">
        <is>
          <t>☐</t>
        </is>
      </c>
    </row>
    <row r="13">
      <c r="A13" t="n">
        <v>10</v>
      </c>
      <c r="D13" t="inlineStr">
        <is>
          <t>☐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B43" sqref="B43"/>
    </sheetView>
  </sheetViews>
  <sheetFormatPr baseColWidth="8" defaultColWidth="9" defaultRowHeight="13.5"/>
  <cols>
    <col width="10" customWidth="1" min="1" max="1"/>
    <col width="40" customWidth="1" min="2" max="2"/>
    <col width="15" customWidth="1" min="3" max="3"/>
    <col width="40" customWidth="1" min="4" max="5"/>
  </cols>
  <sheetData>
    <row r="1" ht="21" customHeight="1">
      <c r="A1" s="6" t="inlineStr">
        <is>
          <t>每周复盘（每周末花 10 分钟填写）</t>
        </is>
      </c>
    </row>
    <row r="3" ht="15" customHeight="1">
      <c r="A3" s="2" t="inlineStr">
        <is>
          <t>周次</t>
        </is>
      </c>
      <c r="B3" s="2" t="inlineStr">
        <is>
          <t>本周完成任务</t>
        </is>
      </c>
      <c r="C3" s="2" t="inlineStr">
        <is>
          <t>总学习时长(h)</t>
        </is>
      </c>
      <c r="D3" s="2" t="inlineStr">
        <is>
          <t>下周计划</t>
        </is>
      </c>
      <c r="E3" s="2" t="inlineStr">
        <is>
          <t>卡点/问题</t>
        </is>
      </c>
    </row>
    <row r="4">
      <c r="A4" t="inlineStr">
        <is>
          <t>第1周</t>
        </is>
      </c>
    </row>
    <row r="5">
      <c r="A5" t="inlineStr">
        <is>
          <t>第2周</t>
        </is>
      </c>
    </row>
    <row r="6">
      <c r="A6" t="inlineStr">
        <is>
          <t>第3周</t>
        </is>
      </c>
    </row>
    <row r="7">
      <c r="A7" t="inlineStr">
        <is>
          <t>第4周</t>
        </is>
      </c>
    </row>
    <row r="8">
      <c r="A8" t="inlineStr">
        <is>
          <t>第5周</t>
        </is>
      </c>
    </row>
    <row r="9">
      <c r="A9" t="inlineStr">
        <is>
          <t>第6周</t>
        </is>
      </c>
    </row>
    <row r="10">
      <c r="A10" t="inlineStr">
        <is>
          <t>第7周</t>
        </is>
      </c>
    </row>
    <row r="11">
      <c r="A11" t="inlineStr">
        <is>
          <t>第8周</t>
        </is>
      </c>
    </row>
    <row r="12">
      <c r="A12" t="inlineStr">
        <is>
          <t>第9周</t>
        </is>
      </c>
    </row>
    <row r="13">
      <c r="A13" t="inlineStr">
        <is>
          <t>第10周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8" defaultColWidth="9" defaultRowHeight="13.5"/>
  <cols>
    <col width="6" customWidth="1" min="1" max="1"/>
    <col width="22" customWidth="1" min="2" max="2"/>
    <col width="12" customWidth="1" min="3" max="3"/>
    <col width="32" customWidth="1" min="4" max="4"/>
    <col width="14" customWidth="1" min="5" max="5"/>
    <col width="18" customWidth="1" min="6" max="6"/>
    <col width="45" customWidth="1" min="7" max="7"/>
    <col width="14" customWidth="1" min="8" max="8"/>
  </cols>
  <sheetData>
    <row r="1" ht="21" customHeight="1">
      <c r="A1" s="1" t="inlineStr">
        <is>
          <t>目标公司清单（泉州/厦门）——来自 BOSS直聘、实习僧、智联招聘</t>
        </is>
      </c>
    </row>
    <row r="3" ht="15" customHeight="1">
      <c r="A3" s="2" t="inlineStr">
        <is>
          <t>序号</t>
        </is>
      </c>
      <c r="B3" s="2" t="inlineStr">
        <is>
          <t>公司</t>
        </is>
      </c>
      <c r="C3" s="2" t="inlineStr">
        <is>
          <t>城市</t>
        </is>
      </c>
      <c r="D3" s="2" t="inlineStr">
        <is>
          <t>岗位</t>
        </is>
      </c>
      <c r="E3" s="2" t="inlineStr">
        <is>
          <t>薪资/天</t>
        </is>
      </c>
      <c r="F3" s="2" t="inlineStr">
        <is>
          <t>来源平台</t>
        </is>
      </c>
      <c r="G3" s="2" t="inlineStr">
        <is>
          <t>JD 关键要求</t>
        </is>
      </c>
      <c r="H3" s="2" t="inlineStr">
        <is>
          <t>投递进度</t>
        </is>
      </c>
    </row>
    <row r="4" ht="16.5" customHeight="1">
      <c r="A4" s="5" t="n">
        <v>1</v>
      </c>
      <c r="B4" s="5" t="inlineStr">
        <is>
          <t>快商通科技</t>
        </is>
      </c>
      <c r="C4" s="5" t="inlineStr">
        <is>
          <t>厦门集美</t>
        </is>
      </c>
      <c r="D4" s="5" t="inlineStr">
        <is>
          <t>NLP大模型训练实习（AI Agent）</t>
        </is>
      </c>
      <c r="E4" s="5" t="inlineStr">
        <is>
          <t>200-300</t>
        </is>
      </c>
      <c r="F4" s="5" t="inlineStr">
        <is>
          <t>BOSS直聘</t>
        </is>
      </c>
      <c r="G4" s="5" t="inlineStr">
        <is>
          <t>LLM训练、RLHF、Agent、Python</t>
        </is>
      </c>
      <c r="H4" s="5" t="inlineStr">
        <is>
          <t>未投递</t>
        </is>
      </c>
    </row>
    <row r="5" ht="16.5" customHeight="1">
      <c r="A5" s="3" t="n">
        <v>2</v>
      </c>
      <c r="B5" s="3" t="inlineStr">
        <is>
          <t>快商通科技</t>
        </is>
      </c>
      <c r="C5" s="3" t="inlineStr">
        <is>
          <t>厦门集美</t>
        </is>
      </c>
      <c r="D5" s="3" t="inlineStr">
        <is>
          <t>NLP算法实习生（可转正）</t>
        </is>
      </c>
      <c r="E5" s="3" t="inlineStr">
        <is>
          <t>200-300</t>
        </is>
      </c>
      <c r="F5" s="3" t="inlineStr">
        <is>
          <t>BOSS直聘</t>
        </is>
      </c>
      <c r="G5" s="3" t="inlineStr">
        <is>
          <t>NLP、文本分类、语义匹配、预训练模型</t>
        </is>
      </c>
      <c r="H5" s="3" t="inlineStr">
        <is>
          <t>未投递</t>
        </is>
      </c>
    </row>
    <row r="6" ht="16.5" customHeight="1">
      <c r="A6" s="5" t="n">
        <v>3</v>
      </c>
      <c r="B6" s="5" t="inlineStr">
        <is>
          <t>美图公司</t>
        </is>
      </c>
      <c r="C6" s="5" t="inlineStr">
        <is>
          <t>厦门</t>
        </is>
      </c>
      <c r="D6" s="5" t="inlineStr">
        <is>
          <t>AI应用开发实习生</t>
        </is>
      </c>
      <c r="E6" s="5" t="inlineStr">
        <is>
          <t>200-250</t>
        </is>
      </c>
      <c r="F6" s="5" t="inlineStr">
        <is>
          <t>实习僧</t>
        </is>
      </c>
      <c r="G6" s="5" t="inlineStr">
        <is>
          <t>Hadoop/Spark、Python/Java、ML、RAG、LangChain</t>
        </is>
      </c>
      <c r="H6" s="5" t="inlineStr">
        <is>
          <t>未投递</t>
        </is>
      </c>
    </row>
    <row r="7" ht="16.5" customHeight="1">
      <c r="A7" s="3" t="n">
        <v>4</v>
      </c>
      <c r="B7" s="3" t="inlineStr">
        <is>
          <t>众诚则网络科技</t>
        </is>
      </c>
      <c r="C7" s="3" t="inlineStr">
        <is>
          <t>厦门</t>
        </is>
      </c>
      <c r="D7" s="3" t="inlineStr">
        <is>
          <t>AI Agent应用开发工程师</t>
        </is>
      </c>
      <c r="E7" s="3" t="inlineStr">
        <is>
          <t>面议</t>
        </is>
      </c>
      <c r="F7" s="3" t="inlineStr">
        <is>
          <t>厦大嘉庚就业网</t>
        </is>
      </c>
      <c r="G7" s="3" t="inlineStr">
        <is>
          <t>LangChain、Dify、Coze、AutoGen、RAG、FastAPI</t>
        </is>
      </c>
      <c r="H7" s="3" t="inlineStr">
        <is>
          <t>未投递</t>
        </is>
      </c>
    </row>
    <row r="8" ht="16.5" customHeight="1">
      <c r="A8" s="5" t="n">
        <v>5</v>
      </c>
      <c r="B8" s="5" t="inlineStr">
        <is>
          <t>空陆视觉科技(厦门)</t>
        </is>
      </c>
      <c r="C8" s="5" t="inlineStr">
        <is>
          <t>厦门思明</t>
        </is>
      </c>
      <c r="D8" s="5" t="inlineStr">
        <is>
          <t>AI工程师（实习）</t>
        </is>
      </c>
      <c r="E8" s="5" t="inlineStr">
        <is>
          <t>面议</t>
        </is>
      </c>
      <c r="F8" s="5" t="inlineStr">
        <is>
          <t>BOSS直聘</t>
        </is>
      </c>
      <c r="G8" s="5" t="inlineStr">
        <is>
          <t>LangChain、LlamaIndex、Dify、Python</t>
        </is>
      </c>
      <c r="H8" s="5" t="inlineStr">
        <is>
          <t>未投递</t>
        </is>
      </c>
    </row>
    <row r="9" ht="16.5" customHeight="1">
      <c r="A9" s="3" t="n">
        <v>6</v>
      </c>
      <c r="B9" s="3" t="inlineStr">
        <is>
          <t>小题旅行科技</t>
        </is>
      </c>
      <c r="C9" s="3" t="inlineStr">
        <is>
          <t>厦门</t>
        </is>
      </c>
      <c r="D9" s="3" t="inlineStr">
        <is>
          <t>AI数据实习生</t>
        </is>
      </c>
      <c r="E9" s="3" t="inlineStr">
        <is>
          <t>180-220</t>
        </is>
      </c>
      <c r="F9" s="3" t="inlineStr">
        <is>
          <t>BOSS直聘</t>
        </is>
      </c>
      <c r="G9" s="3" t="inlineStr">
        <is>
          <t>Python、FastAPI、Coze、LLM、GPT</t>
        </is>
      </c>
      <c r="H9" s="3" t="inlineStr">
        <is>
          <t>未投递</t>
        </is>
      </c>
    </row>
    <row r="10" ht="16.5" customHeight="1">
      <c r="A10" s="5" t="n">
        <v>7</v>
      </c>
      <c r="B10" s="5" t="inlineStr">
        <is>
          <t>睿云联网络通讯</t>
        </is>
      </c>
      <c r="C10" s="5" t="inlineStr">
        <is>
          <t>厦门思明</t>
        </is>
      </c>
      <c r="D10" s="5" t="inlineStr">
        <is>
          <t>Python开发实习生</t>
        </is>
      </c>
      <c r="E10" s="5" t="inlineStr">
        <is>
          <t>150-200</t>
        </is>
      </c>
      <c r="F10" s="5" t="inlineStr">
        <is>
          <t>BOSS直聘/智联</t>
        </is>
      </c>
      <c r="G10" s="5" t="inlineStr">
        <is>
          <t>Python、数据结构、HTTP/TCP/IP、多线程</t>
        </is>
      </c>
      <c r="H10" s="5" t="inlineStr">
        <is>
          <t>未投递</t>
        </is>
      </c>
    </row>
    <row r="11" ht="16.5" customHeight="1">
      <c r="A11" s="3" t="n">
        <v>8</v>
      </c>
      <c r="B11" s="3" t="inlineStr">
        <is>
          <t>量子堆栈科技</t>
        </is>
      </c>
      <c r="C11" s="3" t="inlineStr">
        <is>
          <t>厦门集美</t>
        </is>
      </c>
      <c r="D11" s="3" t="inlineStr">
        <is>
          <t>Python开发工程师（Django）</t>
        </is>
      </c>
      <c r="E11" s="3" t="inlineStr">
        <is>
          <t>校招</t>
        </is>
      </c>
      <c r="F11" s="3" t="inlineStr">
        <is>
          <t>国聘/BOSS直聘</t>
        </is>
      </c>
      <c r="G11" s="3" t="inlineStr">
        <is>
          <t>Django 5.2+、GitHub、技术博客</t>
        </is>
      </c>
      <c r="H11" s="3" t="inlineStr">
        <is>
          <t>未投递</t>
        </is>
      </c>
    </row>
    <row r="12" ht="16.5" customHeight="1">
      <c r="A12" s="5" t="n">
        <v>9</v>
      </c>
      <c r="B12" s="5" t="inlineStr">
        <is>
          <t>国投智能</t>
        </is>
      </c>
      <c r="C12" s="5" t="inlineStr">
        <is>
          <t>厦门</t>
        </is>
      </c>
      <c r="D12" s="5" t="inlineStr">
        <is>
          <t>Python实习生</t>
        </is>
      </c>
      <c r="E12" s="5" t="inlineStr">
        <is>
          <t>面议</t>
        </is>
      </c>
      <c r="F12" s="5" t="inlineStr">
        <is>
          <t>BOSS直聘</t>
        </is>
      </c>
      <c r="G12" s="5" t="inlineStr">
        <is>
          <t>Python、数据结构、算法、面向对象</t>
        </is>
      </c>
      <c r="H12" s="5" t="inlineStr">
        <is>
          <t>未投递</t>
        </is>
      </c>
    </row>
    <row r="13" ht="16.5" customHeight="1">
      <c r="A13" s="3" t="n">
        <v>10</v>
      </c>
      <c r="B13" s="3" t="inlineStr">
        <is>
          <t>厦门知涵拳聚科技</t>
        </is>
      </c>
      <c r="C13" s="3" t="inlineStr">
        <is>
          <t>厦门集美</t>
        </is>
      </c>
      <c r="D13" s="3" t="inlineStr">
        <is>
          <t>Python开发实习生</t>
        </is>
      </c>
      <c r="E13" s="3" t="inlineStr">
        <is>
          <t>4-8K·13薪</t>
        </is>
      </c>
      <c r="F13" s="3" t="inlineStr">
        <is>
          <t>BOSS直聘</t>
        </is>
      </c>
      <c r="G13" s="3" t="inlineStr">
        <is>
          <t>Python、RPA、自动化</t>
        </is>
      </c>
      <c r="H13" s="3" t="inlineStr">
        <is>
          <t>未投递</t>
        </is>
      </c>
    </row>
    <row r="14" ht="16.5" customHeight="1">
      <c r="A14" s="5" t="n">
        <v>11</v>
      </c>
      <c r="B14" s="5" t="inlineStr">
        <is>
          <t>九牧集团</t>
        </is>
      </c>
      <c r="C14" s="5" t="inlineStr">
        <is>
          <t>泉州南安</t>
        </is>
      </c>
      <c r="D14" s="5" t="inlineStr">
        <is>
          <t>AI实习生</t>
        </is>
      </c>
      <c r="E14" s="5" t="inlineStr">
        <is>
          <t>100-150</t>
        </is>
      </c>
      <c r="F14" s="5" t="inlineStr">
        <is>
          <t>智联招聘</t>
        </is>
      </c>
      <c r="G14" s="5" t="inlineStr">
        <is>
          <t>LLM、RAG、LangChain、向量数据库、FastAPI</t>
        </is>
      </c>
      <c r="H14" s="5" t="inlineStr">
        <is>
          <t>未投递</t>
        </is>
      </c>
    </row>
  </sheetData>
  <mergeCells count="1">
    <mergeCell ref="A1:H1"/>
  </mergeCells>
  <dataValidations count="1">
    <dataValidation sqref="H4:H50" showDropDown="0" showInputMessage="0" showErrorMessage="0" allowBlank="1" type="list">
      <formula1>"未投递,已投递,沟通中,笔试,面试中,Offer,被拒"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I4" sqref="I4"/>
    </sheetView>
  </sheetViews>
  <sheetFormatPr baseColWidth="8" defaultColWidth="9" defaultRowHeight="13.5"/>
  <cols>
    <col width="6" customWidth="1" min="1" max="1"/>
    <col width="18" customWidth="1" min="2" max="2"/>
    <col width="32" customWidth="1" min="3" max="3"/>
    <col width="12" customWidth="1" min="4" max="4"/>
    <col width="55" customWidth="1" min="5" max="5"/>
    <col width="35" customWidth="1" min="6" max="6"/>
  </cols>
  <sheetData>
    <row r="1" ht="21" customHeight="1">
      <c r="A1" s="1" t="inlineStr">
        <is>
          <t>求职渠道推荐（按成功率排序）</t>
        </is>
      </c>
    </row>
    <row r="3" ht="15" customHeight="1">
      <c r="A3" s="2" t="inlineStr">
        <is>
          <t>排名</t>
        </is>
      </c>
      <c r="B3" s="2" t="inlineStr">
        <is>
          <t>APP/平台</t>
        </is>
      </c>
      <c r="C3" s="2" t="inlineStr">
        <is>
          <t>适合岗位</t>
        </is>
      </c>
      <c r="D3" s="2" t="inlineStr">
        <is>
          <t>成功率</t>
        </is>
      </c>
      <c r="E3" s="2" t="inlineStr">
        <is>
          <t>使用技巧</t>
        </is>
      </c>
      <c r="F3" s="2" t="inlineStr">
        <is>
          <t>注册链接</t>
        </is>
      </c>
    </row>
    <row r="4" ht="33" customHeight="1">
      <c r="A4" s="3" t="n">
        <v>1</v>
      </c>
      <c r="B4" s="3" t="inlineStr">
        <is>
          <t>BOSS直聘</t>
        </is>
      </c>
      <c r="C4" s="3" t="inlineStr">
        <is>
          <t>Python开发 / AI应用开发 / 实习</t>
        </is>
      </c>
      <c r="D4" s="3" t="inlineStr">
        <is>
          <t>★★★★★</t>
        </is>
      </c>
      <c r="E4" s="3" t="inlineStr">
        <is>
          <t>每天主动聊20个Boss，打招呼要带关键词（RAG/LangChain/Python）。厦门和泉州分开搜。</t>
        </is>
      </c>
      <c r="F4" s="3" t="inlineStr">
        <is>
          <t>https://www.zhipin.com</t>
        </is>
      </c>
    </row>
    <row r="5" ht="16.5" customHeight="1">
      <c r="A5" s="3" t="n">
        <v>2</v>
      </c>
      <c r="B5" s="3" t="inlineStr">
        <is>
          <t>实习僧</t>
        </is>
      </c>
      <c r="C5" s="3" t="inlineStr">
        <is>
          <t>AI应用开发实习 / 暑期实习</t>
        </is>
      </c>
      <c r="D5" s="3" t="inlineStr">
        <is>
          <t>★★★★★</t>
        </is>
      </c>
      <c r="E5" s="3" t="inlineStr">
        <is>
          <t>专注实习岗位，美图、众诚则的实习都在这里。简历要突出项目经历。</t>
        </is>
      </c>
      <c r="F5" s="3" t="inlineStr">
        <is>
          <t>https://www.shixiseng.com</t>
        </is>
      </c>
    </row>
    <row r="6" ht="16.5" customHeight="1">
      <c r="A6" s="3" t="n">
        <v>3</v>
      </c>
      <c r="B6" s="3" t="inlineStr">
        <is>
          <t>智联招聘</t>
        </is>
      </c>
      <c r="C6" s="3" t="inlineStr">
        <is>
          <t>Python初级 / AI实习</t>
        </is>
      </c>
      <c r="D6" s="3" t="inlineStr">
        <is>
          <t>★★★★</t>
        </is>
      </c>
      <c r="E6" s="3" t="inlineStr">
        <is>
          <t>传统大厂多用智联。搜索'Python 实习 厦门'，按发布时间排序。</t>
        </is>
      </c>
      <c r="F6" s="3" t="inlineStr">
        <is>
          <t>https://www.zhaopin.com</t>
        </is>
      </c>
    </row>
    <row r="7" ht="16.5" customHeight="1">
      <c r="A7" s="3" t="n">
        <v>4</v>
      </c>
      <c r="B7" s="3" t="inlineStr">
        <is>
          <t>牛客网</t>
        </is>
      </c>
      <c r="C7" s="3" t="inlineStr">
        <is>
          <t>AI/算法 笔试题 / 内推</t>
        </is>
      </c>
      <c r="D7" s="3" t="inlineStr">
        <is>
          <t>★★★★</t>
        </is>
      </c>
      <c r="E7" s="3" t="inlineStr">
        <is>
          <t>刷算法题+找内推码。搜'厦门 AI实习'找内推帖。</t>
        </is>
      </c>
      <c r="F7" s="3" t="inlineStr">
        <is>
          <t>https://www.nowcoder.com</t>
        </is>
      </c>
    </row>
    <row r="8" ht="16.5" customHeight="1">
      <c r="A8" s="3" t="n">
        <v>5</v>
      </c>
      <c r="B8" s="3" t="inlineStr">
        <is>
          <t>国聘</t>
        </is>
      </c>
      <c r="C8" s="3" t="inlineStr">
        <is>
          <t>国企/央企 Python岗</t>
        </is>
      </c>
      <c r="D8" s="3" t="inlineStr">
        <is>
          <t>★★★</t>
        </is>
      </c>
      <c r="E8" s="3" t="inlineStr">
        <is>
          <t>量子堆栈等国企在此发布。Django项目经验写好。</t>
        </is>
      </c>
      <c r="F8" s="3" t="inlineStr">
        <is>
          <t>https://www.iguopin.com</t>
        </is>
      </c>
    </row>
    <row r="9" ht="16.5" customHeight="1">
      <c r="A9" s="3" t="n">
        <v>6</v>
      </c>
      <c r="B9" s="3" t="inlineStr">
        <is>
          <t>拉勾招聘</t>
        </is>
      </c>
      <c r="C9" s="3" t="inlineStr">
        <is>
          <t>互联网 Python / AI</t>
        </is>
      </c>
      <c r="D9" s="3" t="inlineStr">
        <is>
          <t>★★★</t>
        </is>
      </c>
      <c r="E9" s="3" t="inlineStr">
        <is>
          <t>厦门互联网公司较多。直接投递+即时沟通。</t>
        </is>
      </c>
      <c r="F9" s="3" t="inlineStr">
        <is>
          <t>https://www.lagou.com</t>
        </is>
      </c>
    </row>
    <row r="10" ht="16.5" customHeight="1">
      <c r="A10" s="3" t="n">
        <v>7</v>
      </c>
      <c r="B10" s="3" t="inlineStr">
        <is>
          <t>猎聘</t>
        </is>
      </c>
      <c r="C10" s="3" t="inlineStr">
        <is>
          <t>Python后端 / AI工程师</t>
        </is>
      </c>
      <c r="D10" s="3" t="inlineStr">
        <is>
          <t>★★★</t>
        </is>
      </c>
      <c r="E10" s="3" t="inlineStr">
        <is>
          <t>偏中高级岗位，但实习也可投。完善简历关键词。</t>
        </is>
      </c>
      <c r="F10" s="3" t="inlineStr">
        <is>
          <t>https://www.liepin.com</t>
        </is>
      </c>
    </row>
    <row r="11" ht="16.5" customHeight="1">
      <c r="A11" s="3" t="n">
        <v>8</v>
      </c>
      <c r="B11" s="3" t="inlineStr">
        <is>
          <t>厦门人才网</t>
        </is>
      </c>
      <c r="C11" s="3" t="inlineStr">
        <is>
          <t>本地小公司 / 传统IT</t>
        </is>
      </c>
      <c r="D11" s="3" t="inlineStr">
        <is>
          <t>★★★</t>
        </is>
      </c>
      <c r="E11" s="3" t="inlineStr">
        <is>
          <t>厦门本地中小公司会在这里发。适合保底投递。</t>
        </is>
      </c>
      <c r="F11" s="3" t="inlineStr">
        <is>
          <t>https://www.xmrc.com.cn</t>
        </is>
      </c>
    </row>
    <row r="12" ht="16.5" customHeight="1">
      <c r="A12" s="3" t="n">
        <v>9</v>
      </c>
      <c r="B12" s="3" t="inlineStr">
        <is>
          <t>泉州人才网</t>
        </is>
      </c>
      <c r="C12" s="3" t="inlineStr">
        <is>
          <t>泉州本地实习</t>
        </is>
      </c>
      <c r="D12" s="3" t="inlineStr">
        <is>
          <t>★★★</t>
        </is>
      </c>
      <c r="E12" s="3" t="inlineStr">
        <is>
          <t>泉州本地岗位，九牧等制造企业AI岗会发这里。</t>
        </is>
      </c>
      <c r="F12" s="3" t="inlineStr">
        <is>
          <t>https://www.qzrc.com</t>
        </is>
      </c>
    </row>
    <row r="13" ht="16.5" customHeight="1">
      <c r="A13" s="3" t="n">
        <v>10</v>
      </c>
      <c r="B13" s="3" t="inlineStr">
        <is>
          <t>前程无忧(51job)</t>
        </is>
      </c>
      <c r="C13" s="3" t="inlineStr">
        <is>
          <t>传统行业 Python岗</t>
        </is>
      </c>
      <c r="D13" s="3" t="inlineStr">
        <is>
          <t>★★</t>
        </is>
      </c>
      <c r="E13" s="3" t="inlineStr">
        <is>
          <t>金融、制造等传统行业IT岗较多，适合保底。</t>
        </is>
      </c>
      <c r="F13" s="3" t="inlineStr">
        <is>
          <t>https://www.51job.com</t>
        </is>
      </c>
    </row>
    <row r="15" ht="21" customHeight="1">
      <c r="B15" t="inlineStr">
        <is>
          <t>招呼</t>
        </is>
      </c>
      <c r="C15" s="4" t="inlineStr">
        <is>
          <t>您好，我是应届生，熟练掌握 Python + LangChain + LangGraph，独立完成过基于 RAG 的多文档智能问答系统和多工具 Agent 项目（向量库 Chroma + BGE 嵌入 + FastAPI），对 AI Agent 应用开发有浓厚兴趣，希望能获得实习机会。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2026-07-23T09:20:00Z</dcterms:created>
  <dcterms:modified xsi:type="dcterms:W3CDTF">2026-07-23T17:49:26Z</dcterms:modified>
  <cp:lastModifiedBy>伊泽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001191440300708461136T1XGW3","ProduceID":"d48d3afc7cef54a5b039f6025d272871_d898494f867711f18108525400287e28","ReservedCode1":"+7jnnaCIhatW09Se1Zjt+5UXTylVabLBZ2eZypiJQ9Yws4U1ifrvVZtIHv3BtgaSK6hqg+mU7uRB6GIuGNtLi1SiRX1qJq9pgEUeGApSiyt2kRJZ1jX9ZrVw6u6W4O9cQ8DYTVP7Fb50UP+jlBruoRmgKpiMQphKHine5Rp2OSr7Rame/5iTYqMSiIU=","ContentPropagator":"001191440300708461136T1XGW3","PropagateID":"d48d3afc7cef54a5b039f6025d272871_d898494f867711f18108525400287e28","ReservedCode2":"+7jnnaCIhatW09Se1Zjt+5UXTylVabLBZ2eZypiJQ9Yws4U1ifrvVZtIHv3BtgaSK6hqg+mU7uRB6GIuGNtLi1SiRX1qJq9pgEUeGApSiyt2kRJZ1jX9ZrVw6u6W4O9cQ8DYTVP7Fb50UP+jlBruoRmgKpiMQphKHine5Rp2OSr7Rame/5iTYqMSiIU="}</vt:lpwstr>
  </property>
  <property name="ICV" fmtid="{D5CDD505-2E9C-101B-9397-08002B2CF9AE}" pid="3">
    <vt:lpwstr>0DE9C36FDE3849E3A23BBA4787437B53_12</vt:lpwstr>
  </property>
  <property name="KSOProductBuildVer" fmtid="{D5CDD505-2E9C-101B-9397-08002B2CF9AE}" pid="4">
    <vt:lpwstr>2052-12.1.0.26895</vt:lpwstr>
  </property>
  <property name="CalculationRule" fmtid="{D5CDD505-2E9C-101B-9397-08002B2CF9AE}" pid="5">
    <vt:i4>0</vt:i4>
  </property>
</Properties>
</file>